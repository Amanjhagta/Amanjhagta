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emester 2\Investments\Project\"/>
    </mc:Choice>
  </mc:AlternateContent>
  <xr:revisionPtr revIDLastSave="0" documentId="13_ncr:1_{A4069CE7-F791-4BFE-8C92-370CDAC77227}" xr6:coauthVersionLast="47" xr6:coauthVersionMax="47" xr10:uidLastSave="{00000000-0000-0000-0000-000000000000}"/>
  <bookViews>
    <workbookView xWindow="-110" yWindow="-110" windowWidth="25820" windowHeight="15500" firstSheet="1" activeTab="1" xr2:uid="{92DCD9A5-9BF1-1F42-B667-B95C51BCE3A7}"/>
  </bookViews>
  <sheets>
    <sheet name="Consolidated Edison Inc." sheetId="5" r:id="rId1"/>
    <sheet name="Hist. Price &amp; RRR" sheetId="1" r:id="rId2"/>
    <sheet name="Dividends and Growth Rate" sheetId="2" r:id="rId3"/>
    <sheet name="Leverage Ratio" sheetId="3" r:id="rId4"/>
    <sheet name="P-E ratio and Earning" sheetId="6" r:id="rId5"/>
    <sheet name="Price Esimation" sheetId="7" r:id="rId6"/>
  </sheets>
  <externalReferences>
    <externalReference r:id="rId7"/>
  </externalReferences>
  <definedNames>
    <definedName name="_xlnm._FilterDatabase" localSheetId="2" hidden="1">'Dividends and Growth Rate'!$E$1:$F$1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C7" i="7"/>
  <c r="I8" i="2"/>
  <c r="I3" i="2" l="1"/>
  <c r="C23" i="7"/>
  <c r="D7" i="7"/>
  <c r="B2" i="1" l="1"/>
  <c r="E2" i="1"/>
  <c r="B3" i="1"/>
  <c r="C3" i="1" s="1"/>
  <c r="E3" i="1"/>
  <c r="F3" i="1" s="1"/>
  <c r="B4" i="1"/>
  <c r="C4" i="1" s="1"/>
  <c r="E4" i="1"/>
  <c r="F4" i="1" s="1"/>
  <c r="B5" i="1"/>
  <c r="C5" i="1" s="1"/>
  <c r="E5" i="1"/>
  <c r="F5" i="1" s="1"/>
  <c r="B6" i="1"/>
  <c r="C6" i="1" s="1"/>
  <c r="E6" i="1"/>
  <c r="F6" i="1" s="1"/>
  <c r="B7" i="1"/>
  <c r="C7" i="1" s="1"/>
  <c r="E7" i="1"/>
  <c r="B8" i="1"/>
  <c r="C8" i="1" s="1"/>
  <c r="E8" i="1"/>
  <c r="F8" i="1" s="1"/>
  <c r="B9" i="1"/>
  <c r="C9" i="1" s="1"/>
  <c r="E9" i="1"/>
  <c r="F9" i="1" s="1"/>
  <c r="B10" i="1"/>
  <c r="C10" i="1" s="1"/>
  <c r="E10" i="1"/>
  <c r="F10" i="1" s="1"/>
  <c r="B11" i="1"/>
  <c r="C11" i="1" s="1"/>
  <c r="E11" i="1"/>
  <c r="F11" i="1" s="1"/>
  <c r="B12" i="1"/>
  <c r="C12" i="1" s="1"/>
  <c r="E12" i="1"/>
  <c r="F12" i="1" s="1"/>
  <c r="B13" i="1"/>
  <c r="C13" i="1" s="1"/>
  <c r="E13" i="1"/>
  <c r="F13" i="1" s="1"/>
  <c r="B14" i="1"/>
  <c r="C14" i="1" s="1"/>
  <c r="E14" i="1"/>
  <c r="F14" i="1" s="1"/>
  <c r="B15" i="1"/>
  <c r="C15" i="1" s="1"/>
  <c r="E15" i="1"/>
  <c r="F15" i="1" s="1"/>
  <c r="B16" i="1"/>
  <c r="C16" i="1" s="1"/>
  <c r="E16" i="1"/>
  <c r="F16" i="1" s="1"/>
  <c r="B17" i="1"/>
  <c r="C17" i="1" s="1"/>
  <c r="E17" i="1"/>
  <c r="F17" i="1" s="1"/>
  <c r="B18" i="1"/>
  <c r="E18" i="1"/>
  <c r="B19" i="1"/>
  <c r="C19" i="1" s="1"/>
  <c r="E19" i="1"/>
  <c r="F19" i="1" s="1"/>
  <c r="B20" i="1"/>
  <c r="E20" i="1"/>
  <c r="F20" i="1" s="1"/>
  <c r="B21" i="1"/>
  <c r="C21" i="1" s="1"/>
  <c r="E21" i="1"/>
  <c r="F21" i="1" s="1"/>
  <c r="B22" i="1"/>
  <c r="C22" i="1" s="1"/>
  <c r="E22" i="1"/>
  <c r="F22" i="1" s="1"/>
  <c r="B23" i="1"/>
  <c r="C23" i="1" s="1"/>
  <c r="E23" i="1"/>
  <c r="B24" i="1"/>
  <c r="C24" i="1" s="1"/>
  <c r="E24" i="1"/>
  <c r="F24" i="1" s="1"/>
  <c r="B25" i="1"/>
  <c r="C25" i="1" s="1"/>
  <c r="E25" i="1"/>
  <c r="F25" i="1" s="1"/>
  <c r="B26" i="1"/>
  <c r="C26" i="1" s="1"/>
  <c r="E26" i="1"/>
  <c r="F26" i="1" s="1"/>
  <c r="B27" i="1"/>
  <c r="C27" i="1" s="1"/>
  <c r="E27" i="1"/>
  <c r="F27" i="1" s="1"/>
  <c r="B28" i="1"/>
  <c r="C28" i="1" s="1"/>
  <c r="E28" i="1"/>
  <c r="F28" i="1" s="1"/>
  <c r="B29" i="1"/>
  <c r="C29" i="1" s="1"/>
  <c r="E29" i="1"/>
  <c r="F29" i="1" s="1"/>
  <c r="B30" i="1"/>
  <c r="C30" i="1" s="1"/>
  <c r="E30" i="1"/>
  <c r="F30" i="1" s="1"/>
  <c r="B31" i="1"/>
  <c r="C31" i="1" s="1"/>
  <c r="E31" i="1"/>
  <c r="F31" i="1" s="1"/>
  <c r="B32" i="1"/>
  <c r="C32" i="1" s="1"/>
  <c r="E32" i="1"/>
  <c r="F32" i="1" s="1"/>
  <c r="B33" i="1"/>
  <c r="C33" i="1" s="1"/>
  <c r="E33" i="1"/>
  <c r="F33" i="1" s="1"/>
  <c r="B34" i="1"/>
  <c r="E34" i="1"/>
  <c r="B35" i="1"/>
  <c r="C35" i="1" s="1"/>
  <c r="E35" i="1"/>
  <c r="F35" i="1" s="1"/>
  <c r="B36" i="1"/>
  <c r="E36" i="1"/>
  <c r="F36" i="1" s="1"/>
  <c r="B37" i="1"/>
  <c r="C37" i="1" s="1"/>
  <c r="E37" i="1"/>
  <c r="F37" i="1" s="1"/>
  <c r="B38" i="1"/>
  <c r="C38" i="1" s="1"/>
  <c r="E38" i="1"/>
  <c r="F38" i="1" s="1"/>
  <c r="B39" i="1"/>
  <c r="C39" i="1" s="1"/>
  <c r="E39" i="1"/>
  <c r="B40" i="1"/>
  <c r="C40" i="1" s="1"/>
  <c r="E40" i="1"/>
  <c r="F40" i="1" s="1"/>
  <c r="B41" i="1"/>
  <c r="C41" i="1" s="1"/>
  <c r="E41" i="1"/>
  <c r="F41" i="1" s="1"/>
  <c r="B42" i="1"/>
  <c r="C42" i="1" s="1"/>
  <c r="E42" i="1"/>
  <c r="F42" i="1" s="1"/>
  <c r="B43" i="1"/>
  <c r="C43" i="1" s="1"/>
  <c r="E43" i="1"/>
  <c r="F43" i="1" s="1"/>
  <c r="B44" i="1"/>
  <c r="C44" i="1" s="1"/>
  <c r="E44" i="1"/>
  <c r="F44" i="1" s="1"/>
  <c r="B45" i="1"/>
  <c r="C45" i="1" s="1"/>
  <c r="E45" i="1"/>
  <c r="F45" i="1" s="1"/>
  <c r="B46" i="1"/>
  <c r="C46" i="1" s="1"/>
  <c r="E46" i="1"/>
  <c r="F46" i="1" s="1"/>
  <c r="B47" i="1"/>
  <c r="C47" i="1" s="1"/>
  <c r="E47" i="1"/>
  <c r="F47" i="1" s="1"/>
  <c r="B48" i="1"/>
  <c r="C48" i="1" s="1"/>
  <c r="E48" i="1"/>
  <c r="F48" i="1" s="1"/>
  <c r="B49" i="1"/>
  <c r="C49" i="1" s="1"/>
  <c r="E49" i="1"/>
  <c r="F49" i="1" s="1"/>
  <c r="B50" i="1"/>
  <c r="E50" i="1"/>
  <c r="B51" i="1"/>
  <c r="C51" i="1" s="1"/>
  <c r="E51" i="1"/>
  <c r="F51" i="1" s="1"/>
  <c r="B52" i="1"/>
  <c r="E52" i="1"/>
  <c r="F52" i="1" s="1"/>
  <c r="B53" i="1"/>
  <c r="C53" i="1" s="1"/>
  <c r="E53" i="1"/>
  <c r="F53" i="1" s="1"/>
  <c r="B54" i="1"/>
  <c r="C54" i="1" s="1"/>
  <c r="E54" i="1"/>
  <c r="F54" i="1" s="1"/>
  <c r="B55" i="1"/>
  <c r="C55" i="1" s="1"/>
  <c r="E55" i="1"/>
  <c r="B56" i="1"/>
  <c r="C56" i="1" s="1"/>
  <c r="E56" i="1"/>
  <c r="F56" i="1" s="1"/>
  <c r="B57" i="1"/>
  <c r="C57" i="1" s="1"/>
  <c r="E57" i="1"/>
  <c r="F57" i="1" s="1"/>
  <c r="B58" i="1"/>
  <c r="C58" i="1" s="1"/>
  <c r="E58" i="1"/>
  <c r="F58" i="1" s="1"/>
  <c r="B59" i="1"/>
  <c r="C59" i="1" s="1"/>
  <c r="E59" i="1"/>
  <c r="F59" i="1" s="1"/>
  <c r="B60" i="1"/>
  <c r="C60" i="1" s="1"/>
  <c r="E60" i="1"/>
  <c r="F60" i="1" s="1"/>
  <c r="B61" i="1"/>
  <c r="C61" i="1" s="1"/>
  <c r="E61" i="1"/>
  <c r="F61" i="1" s="1"/>
  <c r="B62" i="1"/>
  <c r="C62" i="1" s="1"/>
  <c r="E62" i="1"/>
  <c r="F62" i="1" s="1"/>
  <c r="B63" i="1"/>
  <c r="C63" i="1" s="1"/>
  <c r="E63" i="1"/>
  <c r="F63" i="1" s="1"/>
  <c r="B64" i="1"/>
  <c r="C64" i="1" s="1"/>
  <c r="E64" i="1"/>
  <c r="F64" i="1" s="1"/>
  <c r="B65" i="1"/>
  <c r="C65" i="1" s="1"/>
  <c r="E65" i="1"/>
  <c r="F65" i="1" s="1"/>
  <c r="B66" i="1"/>
  <c r="E66" i="1"/>
  <c r="B67" i="1"/>
  <c r="C67" i="1" s="1"/>
  <c r="E67" i="1"/>
  <c r="F67" i="1" s="1"/>
  <c r="B68" i="1"/>
  <c r="C68" i="1" s="1"/>
  <c r="E68" i="1"/>
  <c r="F68" i="1" s="1"/>
  <c r="B69" i="1"/>
  <c r="C69" i="1" s="1"/>
  <c r="E69" i="1"/>
  <c r="F69" i="1" s="1"/>
  <c r="B70" i="1"/>
  <c r="C70" i="1" s="1"/>
  <c r="E70" i="1"/>
  <c r="F70" i="1" s="1"/>
  <c r="B71" i="1"/>
  <c r="C71" i="1" s="1"/>
  <c r="E71" i="1"/>
  <c r="B72" i="1"/>
  <c r="C72" i="1" s="1"/>
  <c r="E72" i="1"/>
  <c r="F72" i="1" s="1"/>
  <c r="B73" i="1"/>
  <c r="C73" i="1" s="1"/>
  <c r="E73" i="1"/>
  <c r="F73" i="1"/>
  <c r="B74" i="1"/>
  <c r="C74" i="1" s="1"/>
  <c r="E74" i="1"/>
  <c r="F74" i="1" s="1"/>
  <c r="B75" i="1"/>
  <c r="C75" i="1" s="1"/>
  <c r="E75" i="1"/>
  <c r="F75" i="1" s="1"/>
  <c r="B76" i="1"/>
  <c r="C76" i="1" s="1"/>
  <c r="E76" i="1"/>
  <c r="F76" i="1" s="1"/>
  <c r="B77" i="1"/>
  <c r="C77" i="1" s="1"/>
  <c r="E77" i="1"/>
  <c r="F77" i="1" s="1"/>
  <c r="B78" i="1"/>
  <c r="C78" i="1" s="1"/>
  <c r="E78" i="1"/>
  <c r="F78" i="1" s="1"/>
  <c r="B79" i="1"/>
  <c r="C79" i="1" s="1"/>
  <c r="E79" i="1"/>
  <c r="F79" i="1" s="1"/>
  <c r="B80" i="1"/>
  <c r="C80" i="1" s="1"/>
  <c r="E80" i="1"/>
  <c r="F80" i="1" s="1"/>
  <c r="B81" i="1"/>
  <c r="C81" i="1" s="1"/>
  <c r="E81" i="1"/>
  <c r="B82" i="1"/>
  <c r="E82" i="1"/>
  <c r="F82" i="1" s="1"/>
  <c r="B83" i="1"/>
  <c r="C83" i="1" s="1"/>
  <c r="E83" i="1"/>
  <c r="F83" i="1" s="1"/>
  <c r="B84" i="1"/>
  <c r="C84" i="1" s="1"/>
  <c r="E84" i="1"/>
  <c r="F84" i="1" s="1"/>
  <c r="B85" i="1"/>
  <c r="C85" i="1"/>
  <c r="E85" i="1"/>
  <c r="F85" i="1" s="1"/>
  <c r="B86" i="1"/>
  <c r="C86" i="1" s="1"/>
  <c r="E86" i="1"/>
  <c r="B87" i="1"/>
  <c r="C87" i="1" s="1"/>
  <c r="E87" i="1"/>
  <c r="F87" i="1"/>
  <c r="B88" i="1"/>
  <c r="C88" i="1" s="1"/>
  <c r="E88" i="1"/>
  <c r="F88" i="1" s="1"/>
  <c r="B89" i="1"/>
  <c r="C89" i="1" s="1"/>
  <c r="E89" i="1"/>
  <c r="F89" i="1" s="1"/>
  <c r="B90" i="1"/>
  <c r="C90" i="1" s="1"/>
  <c r="E90" i="1"/>
  <c r="F90" i="1" s="1"/>
  <c r="B91" i="1"/>
  <c r="C91" i="1" s="1"/>
  <c r="E91" i="1"/>
  <c r="F91" i="1" s="1"/>
  <c r="B92" i="1"/>
  <c r="C92" i="1" s="1"/>
  <c r="E92" i="1"/>
  <c r="F92" i="1" s="1"/>
  <c r="B93" i="1"/>
  <c r="C93" i="1" s="1"/>
  <c r="E93" i="1"/>
  <c r="F93" i="1" s="1"/>
  <c r="B94" i="1"/>
  <c r="C94" i="1" s="1"/>
  <c r="E94" i="1"/>
  <c r="F94" i="1" s="1"/>
  <c r="B95" i="1"/>
  <c r="C95" i="1" s="1"/>
  <c r="E95" i="1"/>
  <c r="F95" i="1" s="1"/>
  <c r="B96" i="1"/>
  <c r="C96" i="1" s="1"/>
  <c r="E96" i="1"/>
  <c r="B97" i="1"/>
  <c r="E97" i="1"/>
  <c r="F97" i="1" s="1"/>
  <c r="B98" i="1"/>
  <c r="C98" i="1" s="1"/>
  <c r="E98" i="1"/>
  <c r="F98" i="1" s="1"/>
  <c r="B99" i="1"/>
  <c r="C99" i="1" s="1"/>
  <c r="E99" i="1"/>
  <c r="F99" i="1" s="1"/>
  <c r="B100" i="1"/>
  <c r="C100" i="1" s="1"/>
  <c r="E100" i="1"/>
  <c r="F100" i="1" s="1"/>
  <c r="B101" i="1"/>
  <c r="C101" i="1" s="1"/>
  <c r="E101" i="1"/>
  <c r="F101" i="1" s="1"/>
  <c r="B102" i="1"/>
  <c r="E102" i="1"/>
  <c r="F102" i="1" s="1"/>
  <c r="B103" i="1"/>
  <c r="C103" i="1" s="1"/>
  <c r="E103" i="1"/>
  <c r="F103" i="1" s="1"/>
  <c r="B104" i="1"/>
  <c r="C104" i="1" s="1"/>
  <c r="E104" i="1"/>
  <c r="F104" i="1" s="1"/>
  <c r="B105" i="1"/>
  <c r="C105" i="1" s="1"/>
  <c r="E105" i="1"/>
  <c r="F105" i="1" s="1"/>
  <c r="B106" i="1"/>
  <c r="C106" i="1" s="1"/>
  <c r="E106" i="1"/>
  <c r="F106" i="1" s="1"/>
  <c r="B107" i="1"/>
  <c r="C107" i="1" s="1"/>
  <c r="E107" i="1"/>
  <c r="F107" i="1" s="1"/>
  <c r="B108" i="1"/>
  <c r="C108" i="1" s="1"/>
  <c r="E108" i="1"/>
  <c r="F108" i="1" s="1"/>
  <c r="B109" i="1"/>
  <c r="C109" i="1" s="1"/>
  <c r="E109" i="1"/>
  <c r="F109" i="1"/>
  <c r="B110" i="1"/>
  <c r="C110" i="1"/>
  <c r="E110" i="1"/>
  <c r="F110" i="1" s="1"/>
  <c r="B111" i="1"/>
  <c r="C111" i="1" s="1"/>
  <c r="E111" i="1"/>
  <c r="B112" i="1"/>
  <c r="E112" i="1"/>
  <c r="F112" i="1" s="1"/>
  <c r="B113" i="1"/>
  <c r="C113" i="1" s="1"/>
  <c r="E113" i="1"/>
  <c r="F113" i="1" s="1"/>
  <c r="B114" i="1"/>
  <c r="C114" i="1" s="1"/>
  <c r="E114" i="1"/>
  <c r="F114" i="1" s="1"/>
  <c r="B115" i="1"/>
  <c r="C115" i="1" s="1"/>
  <c r="E115" i="1"/>
  <c r="F115" i="1" s="1"/>
  <c r="B116" i="1"/>
  <c r="C116" i="1" s="1"/>
  <c r="E116" i="1"/>
  <c r="F116" i="1" s="1"/>
  <c r="B117" i="1"/>
  <c r="E117" i="1"/>
  <c r="F117" i="1" s="1"/>
  <c r="B118" i="1"/>
  <c r="C118" i="1" s="1"/>
  <c r="E118" i="1"/>
  <c r="F118" i="1" s="1"/>
  <c r="B119" i="1"/>
  <c r="C119" i="1" s="1"/>
  <c r="E119" i="1"/>
  <c r="F119" i="1" s="1"/>
  <c r="B120" i="1"/>
  <c r="C120" i="1" s="1"/>
  <c r="E120" i="1"/>
  <c r="F120" i="1" s="1"/>
  <c r="B121" i="1"/>
  <c r="C121" i="1" s="1"/>
  <c r="E121" i="1"/>
  <c r="F121" i="1" s="1"/>
  <c r="B122" i="1"/>
  <c r="C122" i="1" s="1"/>
  <c r="E122" i="1"/>
  <c r="F122" i="1" s="1"/>
  <c r="B123" i="1"/>
  <c r="C123" i="1" s="1"/>
  <c r="E123" i="1"/>
  <c r="F123" i="1" s="1"/>
  <c r="B124" i="1"/>
  <c r="C124" i="1" s="1"/>
  <c r="E124" i="1"/>
  <c r="F124" i="1" s="1"/>
  <c r="B125" i="1"/>
  <c r="C125" i="1" s="1"/>
  <c r="E125" i="1"/>
  <c r="F125" i="1" s="1"/>
  <c r="B126" i="1"/>
  <c r="C126" i="1" s="1"/>
  <c r="E126" i="1"/>
  <c r="F126" i="1" s="1"/>
  <c r="B127" i="1"/>
  <c r="C127" i="1" s="1"/>
  <c r="E127" i="1"/>
  <c r="B128" i="1"/>
  <c r="E128" i="1"/>
  <c r="F128" i="1" s="1"/>
  <c r="B129" i="1"/>
  <c r="C129" i="1" s="1"/>
  <c r="E129" i="1"/>
  <c r="F129" i="1" s="1"/>
  <c r="B130" i="1"/>
  <c r="C130" i="1" s="1"/>
  <c r="E130" i="1"/>
  <c r="F130" i="1" s="1"/>
  <c r="B131" i="1"/>
  <c r="C131" i="1" s="1"/>
  <c r="E131" i="1"/>
  <c r="F131" i="1" s="1"/>
  <c r="B132" i="1"/>
  <c r="C132" i="1" s="1"/>
  <c r="E132" i="1"/>
  <c r="F132" i="1" s="1"/>
  <c r="B133" i="1"/>
  <c r="E133" i="1"/>
  <c r="F133" i="1" s="1"/>
  <c r="B134" i="1"/>
  <c r="C134" i="1" s="1"/>
  <c r="E134" i="1"/>
  <c r="F134" i="1" s="1"/>
  <c r="B135" i="1"/>
  <c r="C135" i="1" s="1"/>
  <c r="E135" i="1"/>
  <c r="F135" i="1" s="1"/>
  <c r="B136" i="1"/>
  <c r="C136" i="1" s="1"/>
  <c r="E136" i="1"/>
  <c r="F136" i="1" s="1"/>
  <c r="B137" i="1"/>
  <c r="C137" i="1" s="1"/>
  <c r="E137" i="1"/>
  <c r="F137" i="1" s="1"/>
  <c r="B138" i="1"/>
  <c r="C138" i="1" s="1"/>
  <c r="E138" i="1"/>
  <c r="F138" i="1" s="1"/>
  <c r="B139" i="1"/>
  <c r="C139" i="1" s="1"/>
  <c r="E139" i="1"/>
  <c r="F139" i="1" s="1"/>
  <c r="B140" i="1"/>
  <c r="C140" i="1" s="1"/>
  <c r="E140" i="1"/>
  <c r="F140" i="1" s="1"/>
  <c r="B141" i="1"/>
  <c r="C141" i="1" s="1"/>
  <c r="E141" i="1"/>
  <c r="F141" i="1" s="1"/>
  <c r="B142" i="1"/>
  <c r="C142" i="1" s="1"/>
  <c r="E142" i="1"/>
  <c r="F142" i="1" s="1"/>
  <c r="B143" i="1"/>
  <c r="C143" i="1" s="1"/>
  <c r="E143" i="1"/>
  <c r="B144" i="1"/>
  <c r="E144" i="1"/>
  <c r="F144" i="1" s="1"/>
  <c r="B145" i="1"/>
  <c r="C145" i="1" s="1"/>
  <c r="E145" i="1"/>
  <c r="F145" i="1" s="1"/>
  <c r="B146" i="1"/>
  <c r="C146" i="1" s="1"/>
  <c r="E146" i="1"/>
  <c r="F146" i="1" s="1"/>
  <c r="B147" i="1"/>
  <c r="C147" i="1" s="1"/>
  <c r="E147" i="1"/>
  <c r="F147" i="1" s="1"/>
  <c r="B148" i="1"/>
  <c r="C148" i="1" s="1"/>
  <c r="E148" i="1"/>
  <c r="F148" i="1" s="1"/>
  <c r="B149" i="1"/>
  <c r="E149" i="1"/>
  <c r="F149" i="1" s="1"/>
  <c r="B150" i="1"/>
  <c r="C150" i="1" s="1"/>
  <c r="E150" i="1"/>
  <c r="F150" i="1" s="1"/>
  <c r="B151" i="1"/>
  <c r="C151" i="1" s="1"/>
  <c r="E151" i="1"/>
  <c r="F151" i="1" s="1"/>
  <c r="B152" i="1"/>
  <c r="C152" i="1" s="1"/>
  <c r="E152" i="1"/>
  <c r="F152" i="1" s="1"/>
  <c r="B153" i="1"/>
  <c r="C153" i="1" s="1"/>
  <c r="E153" i="1"/>
  <c r="F153" i="1" s="1"/>
  <c r="B154" i="1"/>
  <c r="C154" i="1" s="1"/>
  <c r="E154" i="1"/>
  <c r="F154" i="1" s="1"/>
  <c r="B155" i="1"/>
  <c r="C155" i="1" s="1"/>
  <c r="E155" i="1"/>
  <c r="F155" i="1" s="1"/>
  <c r="B156" i="1"/>
  <c r="C156" i="1" s="1"/>
  <c r="E156" i="1"/>
  <c r="F156" i="1" s="1"/>
  <c r="B157" i="1"/>
  <c r="C157" i="1" s="1"/>
  <c r="E157" i="1"/>
  <c r="F157" i="1" s="1"/>
  <c r="B158" i="1"/>
  <c r="C158" i="1" s="1"/>
  <c r="E158" i="1"/>
  <c r="F158" i="1" s="1"/>
  <c r="B159" i="1"/>
  <c r="C159" i="1" s="1"/>
  <c r="E159" i="1"/>
  <c r="B160" i="1"/>
  <c r="E160" i="1"/>
  <c r="F160" i="1" s="1"/>
  <c r="B161" i="1"/>
  <c r="C161" i="1" s="1"/>
  <c r="E161" i="1"/>
  <c r="F161" i="1" s="1"/>
  <c r="B162" i="1"/>
  <c r="C162" i="1" s="1"/>
  <c r="E162" i="1"/>
  <c r="F162" i="1" s="1"/>
  <c r="B163" i="1"/>
  <c r="C163" i="1" s="1"/>
  <c r="E163" i="1"/>
  <c r="F163" i="1" s="1"/>
  <c r="B164" i="1"/>
  <c r="C164" i="1" s="1"/>
  <c r="E164" i="1"/>
  <c r="F164" i="1" s="1"/>
  <c r="B165" i="1"/>
  <c r="E165" i="1"/>
  <c r="F165" i="1" s="1"/>
  <c r="B166" i="1"/>
  <c r="C166" i="1" s="1"/>
  <c r="E166" i="1"/>
  <c r="F166" i="1" s="1"/>
  <c r="B167" i="1"/>
  <c r="C167" i="1" s="1"/>
  <c r="E167" i="1"/>
  <c r="F167" i="1" s="1"/>
  <c r="B168" i="1"/>
  <c r="C168" i="1" s="1"/>
  <c r="E168" i="1"/>
  <c r="F168" i="1" s="1"/>
  <c r="B169" i="1"/>
  <c r="C169" i="1" s="1"/>
  <c r="E169" i="1"/>
  <c r="F169" i="1" s="1"/>
  <c r="B170" i="1"/>
  <c r="C170" i="1" s="1"/>
  <c r="E170" i="1"/>
  <c r="F170" i="1" s="1"/>
  <c r="B171" i="1"/>
  <c r="C171" i="1" s="1"/>
  <c r="E171" i="1"/>
  <c r="F171" i="1" s="1"/>
  <c r="B172" i="1"/>
  <c r="C172" i="1" s="1"/>
  <c r="E172" i="1"/>
  <c r="F172" i="1" s="1"/>
  <c r="B173" i="1"/>
  <c r="C173" i="1" s="1"/>
  <c r="E173" i="1"/>
  <c r="F173" i="1" s="1"/>
  <c r="B174" i="1"/>
  <c r="C174" i="1" s="1"/>
  <c r="E174" i="1"/>
  <c r="F174" i="1" s="1"/>
  <c r="B175" i="1"/>
  <c r="C175" i="1" s="1"/>
  <c r="E175" i="1"/>
  <c r="B176" i="1"/>
  <c r="E176" i="1"/>
  <c r="F176" i="1" s="1"/>
  <c r="B177" i="1"/>
  <c r="C177" i="1" s="1"/>
  <c r="E177" i="1"/>
  <c r="F177" i="1" s="1"/>
  <c r="B178" i="1"/>
  <c r="C178" i="1" s="1"/>
  <c r="E178" i="1"/>
  <c r="F178" i="1" s="1"/>
  <c r="B179" i="1"/>
  <c r="C179" i="1" s="1"/>
  <c r="E179" i="1"/>
  <c r="F179" i="1" s="1"/>
  <c r="B180" i="1"/>
  <c r="C180" i="1" s="1"/>
  <c r="E180" i="1"/>
  <c r="F180" i="1" s="1"/>
  <c r="B181" i="1"/>
  <c r="E181" i="1"/>
  <c r="F181" i="1" s="1"/>
  <c r="B182" i="1"/>
  <c r="C182" i="1" s="1"/>
  <c r="E182" i="1"/>
  <c r="F182" i="1" s="1"/>
  <c r="B183" i="1"/>
  <c r="C183" i="1" s="1"/>
  <c r="E183" i="1"/>
  <c r="F183" i="1" s="1"/>
  <c r="B184" i="1"/>
  <c r="C184" i="1" s="1"/>
  <c r="E184" i="1"/>
  <c r="F184" i="1" s="1"/>
  <c r="B185" i="1"/>
  <c r="C185" i="1" s="1"/>
  <c r="E185" i="1"/>
  <c r="F185" i="1" s="1"/>
  <c r="B186" i="1"/>
  <c r="C186" i="1" s="1"/>
  <c r="E186" i="1"/>
  <c r="F186" i="1" s="1"/>
  <c r="B187" i="1"/>
  <c r="C187" i="1" s="1"/>
  <c r="E187" i="1"/>
  <c r="F187" i="1" s="1"/>
  <c r="B188" i="1"/>
  <c r="C188" i="1" s="1"/>
  <c r="E188" i="1"/>
  <c r="F188" i="1" s="1"/>
  <c r="B189" i="1"/>
  <c r="C189" i="1" s="1"/>
  <c r="E189" i="1"/>
  <c r="F189" i="1" s="1"/>
  <c r="B190" i="1"/>
  <c r="C190" i="1" s="1"/>
  <c r="E190" i="1"/>
  <c r="F190" i="1" s="1"/>
  <c r="B191" i="1"/>
  <c r="C191" i="1" s="1"/>
  <c r="E191" i="1"/>
  <c r="B192" i="1"/>
  <c r="E192" i="1"/>
  <c r="F192" i="1" s="1"/>
  <c r="B193" i="1"/>
  <c r="C193" i="1" s="1"/>
  <c r="E193" i="1"/>
  <c r="F193" i="1" s="1"/>
  <c r="B194" i="1"/>
  <c r="C194" i="1" s="1"/>
  <c r="E194" i="1"/>
  <c r="F194" i="1" s="1"/>
  <c r="B195" i="1"/>
  <c r="C195" i="1" s="1"/>
  <c r="E195" i="1"/>
  <c r="F195" i="1" s="1"/>
  <c r="B196" i="1"/>
  <c r="C196" i="1" s="1"/>
  <c r="E196" i="1"/>
  <c r="F196" i="1" s="1"/>
  <c r="B197" i="1"/>
  <c r="E197" i="1"/>
  <c r="F197" i="1" s="1"/>
  <c r="B198" i="1"/>
  <c r="C198" i="1" s="1"/>
  <c r="E198" i="1"/>
  <c r="F198" i="1" s="1"/>
  <c r="B199" i="1"/>
  <c r="C199" i="1" s="1"/>
  <c r="E199" i="1"/>
  <c r="F199" i="1" s="1"/>
  <c r="B200" i="1"/>
  <c r="C200" i="1" s="1"/>
  <c r="E200" i="1"/>
  <c r="F200" i="1" s="1"/>
  <c r="B201" i="1"/>
  <c r="C201" i="1" s="1"/>
  <c r="E201" i="1"/>
  <c r="F201" i="1" s="1"/>
  <c r="B202" i="1"/>
  <c r="C202" i="1" s="1"/>
  <c r="E202" i="1"/>
  <c r="F202" i="1" s="1"/>
  <c r="B203" i="1"/>
  <c r="C203" i="1" s="1"/>
  <c r="E203" i="1"/>
  <c r="F203" i="1" s="1"/>
  <c r="B204" i="1"/>
  <c r="C204" i="1" s="1"/>
  <c r="E204" i="1"/>
  <c r="F204" i="1" s="1"/>
  <c r="B205" i="1"/>
  <c r="C205" i="1" s="1"/>
  <c r="E205" i="1"/>
  <c r="F205" i="1" s="1"/>
  <c r="B206" i="1"/>
  <c r="C206" i="1" s="1"/>
  <c r="E206" i="1"/>
  <c r="F206" i="1" s="1"/>
  <c r="B207" i="1"/>
  <c r="C207" i="1" s="1"/>
  <c r="E207" i="1"/>
  <c r="B208" i="1"/>
  <c r="E208" i="1"/>
  <c r="F208" i="1" s="1"/>
  <c r="B209" i="1"/>
  <c r="C209" i="1" s="1"/>
  <c r="E209" i="1"/>
  <c r="F209" i="1" s="1"/>
  <c r="B210" i="1"/>
  <c r="C210" i="1" s="1"/>
  <c r="E210" i="1"/>
  <c r="F210" i="1" s="1"/>
  <c r="B211" i="1"/>
  <c r="C211" i="1" s="1"/>
  <c r="E211" i="1"/>
  <c r="F211" i="1" s="1"/>
  <c r="B212" i="1"/>
  <c r="C212" i="1" s="1"/>
  <c r="E212" i="1"/>
  <c r="F212" i="1" s="1"/>
  <c r="B213" i="1"/>
  <c r="E213" i="1"/>
  <c r="F213" i="1" s="1"/>
  <c r="B214" i="1"/>
  <c r="C214" i="1" s="1"/>
  <c r="E214" i="1"/>
  <c r="F214" i="1" s="1"/>
  <c r="B215" i="1"/>
  <c r="C215" i="1" s="1"/>
  <c r="E215" i="1"/>
  <c r="F215" i="1" s="1"/>
  <c r="B216" i="1"/>
  <c r="C216" i="1" s="1"/>
  <c r="E216" i="1"/>
  <c r="F216" i="1" s="1"/>
  <c r="B217" i="1"/>
  <c r="C217" i="1" s="1"/>
  <c r="E217" i="1"/>
  <c r="F217" i="1" s="1"/>
  <c r="B218" i="1"/>
  <c r="C218" i="1" s="1"/>
  <c r="E218" i="1"/>
  <c r="F218" i="1" s="1"/>
  <c r="B219" i="1"/>
  <c r="C219" i="1" s="1"/>
  <c r="E219" i="1"/>
  <c r="F219" i="1" s="1"/>
  <c r="B220" i="1"/>
  <c r="C220" i="1" s="1"/>
  <c r="E220" i="1"/>
  <c r="F220" i="1" s="1"/>
  <c r="B221" i="1"/>
  <c r="C221" i="1" s="1"/>
  <c r="E221" i="1"/>
  <c r="F221" i="1" s="1"/>
  <c r="B222" i="1"/>
  <c r="C222" i="1" s="1"/>
  <c r="E222" i="1"/>
  <c r="F222" i="1" s="1"/>
  <c r="B223" i="1"/>
  <c r="C223" i="1" s="1"/>
  <c r="E223" i="1"/>
  <c r="B224" i="1"/>
  <c r="E224" i="1"/>
  <c r="F224" i="1" s="1"/>
  <c r="B225" i="1"/>
  <c r="C225" i="1" s="1"/>
  <c r="E225" i="1"/>
  <c r="F225" i="1" s="1"/>
  <c r="B226" i="1"/>
  <c r="C226" i="1" s="1"/>
  <c r="E226" i="1"/>
  <c r="F226" i="1" s="1"/>
  <c r="B227" i="1"/>
  <c r="C227" i="1" s="1"/>
  <c r="E227" i="1"/>
  <c r="F227" i="1" s="1"/>
  <c r="B228" i="1"/>
  <c r="C228" i="1" s="1"/>
  <c r="E228" i="1"/>
  <c r="F228" i="1" s="1"/>
  <c r="B229" i="1"/>
  <c r="E229" i="1"/>
  <c r="F229" i="1" s="1"/>
  <c r="B230" i="1"/>
  <c r="C230" i="1"/>
  <c r="E230" i="1"/>
  <c r="F230" i="1"/>
  <c r="B231" i="1"/>
  <c r="C231" i="1" s="1"/>
  <c r="E231" i="1"/>
  <c r="F231" i="1" s="1"/>
  <c r="B232" i="1"/>
  <c r="C232" i="1" s="1"/>
  <c r="E232" i="1"/>
  <c r="F232" i="1" s="1"/>
  <c r="B233" i="1"/>
  <c r="C233" i="1"/>
  <c r="E233" i="1"/>
  <c r="F233" i="1" s="1"/>
  <c r="B234" i="1"/>
  <c r="C234" i="1" s="1"/>
  <c r="E234" i="1"/>
  <c r="F234" i="1" s="1"/>
  <c r="B235" i="1"/>
  <c r="C235" i="1" s="1"/>
  <c r="E235" i="1"/>
  <c r="F235" i="1" s="1"/>
  <c r="B236" i="1"/>
  <c r="C236" i="1" s="1"/>
  <c r="E236" i="1"/>
  <c r="F236" i="1" s="1"/>
  <c r="B237" i="1"/>
  <c r="C237" i="1" s="1"/>
  <c r="E237" i="1"/>
  <c r="F237" i="1" s="1"/>
  <c r="B238" i="1"/>
  <c r="E238" i="1"/>
  <c r="B239" i="1"/>
  <c r="C239" i="1" s="1"/>
  <c r="E239" i="1"/>
  <c r="F239" i="1" s="1"/>
  <c r="B240" i="1"/>
  <c r="C240" i="1" s="1"/>
  <c r="E240" i="1"/>
  <c r="F240" i="1" s="1"/>
  <c r="B241" i="1"/>
  <c r="C241" i="1" s="1"/>
  <c r="E241" i="1"/>
  <c r="F241" i="1" s="1"/>
  <c r="B242" i="1"/>
  <c r="C242" i="1" s="1"/>
  <c r="E242" i="1"/>
  <c r="F242" i="1" s="1"/>
  <c r="B243" i="1"/>
  <c r="C243" i="1" s="1"/>
  <c r="E243" i="1"/>
  <c r="B244" i="1"/>
  <c r="C244" i="1" s="1"/>
  <c r="E244" i="1"/>
  <c r="F244" i="1" s="1"/>
  <c r="B245" i="1"/>
  <c r="C245" i="1" s="1"/>
  <c r="E245" i="1"/>
  <c r="F245" i="1" s="1"/>
  <c r="B246" i="1"/>
  <c r="C246" i="1" s="1"/>
  <c r="E246" i="1"/>
  <c r="F246" i="1" s="1"/>
  <c r="B247" i="1"/>
  <c r="C247" i="1" s="1"/>
  <c r="E247" i="1"/>
  <c r="F247" i="1" s="1"/>
  <c r="B248" i="1"/>
  <c r="C248" i="1" s="1"/>
  <c r="E248" i="1"/>
  <c r="F248" i="1" s="1"/>
  <c r="B249" i="1"/>
  <c r="C249" i="1" s="1"/>
  <c r="E249" i="1"/>
  <c r="F249" i="1" s="1"/>
  <c r="B250" i="1"/>
  <c r="C250" i="1" s="1"/>
  <c r="E250" i="1"/>
  <c r="F250" i="1" s="1"/>
  <c r="B251" i="1"/>
  <c r="C251" i="1" s="1"/>
  <c r="E251" i="1"/>
  <c r="F251" i="1" s="1"/>
  <c r="B252" i="1"/>
  <c r="C252" i="1" s="1"/>
  <c r="E252" i="1"/>
  <c r="F252" i="1" s="1"/>
  <c r="B253" i="1"/>
  <c r="C253" i="1" s="1"/>
  <c r="E253" i="1"/>
  <c r="F253" i="1" s="1"/>
  <c r="B254" i="1"/>
  <c r="E254" i="1"/>
  <c r="B255" i="1"/>
  <c r="C255" i="1" s="1"/>
  <c r="E255" i="1"/>
  <c r="F255" i="1" s="1"/>
  <c r="B256" i="1"/>
  <c r="C256" i="1" s="1"/>
  <c r="E256" i="1"/>
  <c r="F256" i="1" s="1"/>
  <c r="B257" i="1"/>
  <c r="C257" i="1" s="1"/>
  <c r="E257" i="1"/>
  <c r="F257" i="1" s="1"/>
  <c r="B258" i="1"/>
  <c r="C258" i="1" s="1"/>
  <c r="E258" i="1"/>
  <c r="F258" i="1" s="1"/>
  <c r="B259" i="1"/>
  <c r="C259" i="1" s="1"/>
  <c r="E259" i="1"/>
  <c r="B260" i="1"/>
  <c r="C260" i="1" s="1"/>
  <c r="E260" i="1"/>
  <c r="F260" i="1" s="1"/>
  <c r="B261" i="1"/>
  <c r="C261" i="1" s="1"/>
  <c r="E261" i="1"/>
  <c r="F261" i="1" s="1"/>
  <c r="B262" i="1"/>
  <c r="C262" i="1" s="1"/>
  <c r="E262" i="1"/>
  <c r="F262" i="1" s="1"/>
  <c r="B263" i="1"/>
  <c r="C263" i="1" s="1"/>
  <c r="E263" i="1"/>
  <c r="F263" i="1" s="1"/>
  <c r="B264" i="1"/>
  <c r="C264" i="1" s="1"/>
  <c r="E264" i="1"/>
  <c r="F264" i="1" s="1"/>
  <c r="B265" i="1"/>
  <c r="C265" i="1" s="1"/>
  <c r="E265" i="1"/>
  <c r="F265" i="1" s="1"/>
  <c r="B266" i="1"/>
  <c r="C266" i="1" s="1"/>
  <c r="E266" i="1"/>
  <c r="F266" i="1" s="1"/>
  <c r="B267" i="1"/>
  <c r="C267" i="1" s="1"/>
  <c r="E267" i="1"/>
  <c r="F267" i="1" s="1"/>
  <c r="B268" i="1"/>
  <c r="C268" i="1" s="1"/>
  <c r="E268" i="1"/>
  <c r="F268" i="1" s="1"/>
  <c r="B269" i="1"/>
  <c r="C269" i="1" s="1"/>
  <c r="E269" i="1"/>
  <c r="F269" i="1" s="1"/>
  <c r="B270" i="1"/>
  <c r="E270" i="1"/>
  <c r="B271" i="1"/>
  <c r="C271" i="1" s="1"/>
  <c r="E271" i="1"/>
  <c r="F271" i="1" s="1"/>
  <c r="B272" i="1"/>
  <c r="C272" i="1" s="1"/>
  <c r="E272" i="1"/>
  <c r="F272" i="1" s="1"/>
  <c r="B273" i="1"/>
  <c r="C273" i="1" s="1"/>
  <c r="E273" i="1"/>
  <c r="F273" i="1" s="1"/>
  <c r="B274" i="1"/>
  <c r="C274" i="1" s="1"/>
  <c r="E274" i="1"/>
  <c r="F274" i="1" s="1"/>
  <c r="B275" i="1"/>
  <c r="C275" i="1" s="1"/>
  <c r="E275" i="1"/>
  <c r="B276" i="1"/>
  <c r="C276" i="1" s="1"/>
  <c r="E276" i="1"/>
  <c r="F276" i="1" s="1"/>
  <c r="B277" i="1"/>
  <c r="C277" i="1" s="1"/>
  <c r="E277" i="1"/>
  <c r="F277" i="1" s="1"/>
  <c r="B278" i="1"/>
  <c r="C278" i="1" s="1"/>
  <c r="E278" i="1"/>
  <c r="F278" i="1" s="1"/>
  <c r="B279" i="1"/>
  <c r="C279" i="1" s="1"/>
  <c r="E279" i="1"/>
  <c r="F279" i="1" s="1"/>
  <c r="B280" i="1"/>
  <c r="C280" i="1" s="1"/>
  <c r="E280" i="1"/>
  <c r="F280" i="1" s="1"/>
  <c r="B281" i="1"/>
  <c r="C281" i="1" s="1"/>
  <c r="E281" i="1"/>
  <c r="F281" i="1"/>
  <c r="B282" i="1"/>
  <c r="C282" i="1" s="1"/>
  <c r="E282" i="1"/>
  <c r="F282" i="1" s="1"/>
  <c r="B283" i="1"/>
  <c r="C283" i="1" s="1"/>
  <c r="E283" i="1"/>
  <c r="F283" i="1" s="1"/>
  <c r="B284" i="1"/>
  <c r="C284" i="1" s="1"/>
  <c r="E284" i="1"/>
  <c r="F284" i="1"/>
  <c r="B285" i="1"/>
  <c r="E285" i="1"/>
  <c r="B286" i="1"/>
  <c r="C286" i="1" s="1"/>
  <c r="E286" i="1"/>
  <c r="F286" i="1" s="1"/>
  <c r="B287" i="1"/>
  <c r="C287" i="1" s="1"/>
  <c r="E287" i="1"/>
  <c r="F287" i="1" s="1"/>
  <c r="B288" i="1"/>
  <c r="C288" i="1" s="1"/>
  <c r="E288" i="1"/>
  <c r="F288" i="1" s="1"/>
  <c r="B289" i="1"/>
  <c r="C289" i="1" s="1"/>
  <c r="E289" i="1"/>
  <c r="F289" i="1" s="1"/>
  <c r="B290" i="1"/>
  <c r="C290" i="1" s="1"/>
  <c r="E290" i="1"/>
  <c r="F290" i="1"/>
  <c r="B291" i="1"/>
  <c r="C291" i="1"/>
  <c r="E291" i="1"/>
  <c r="F291" i="1" s="1"/>
  <c r="B292" i="1"/>
  <c r="C292" i="1" s="1"/>
  <c r="E292" i="1"/>
  <c r="F292" i="1" s="1"/>
  <c r="B293" i="1"/>
  <c r="C293" i="1" s="1"/>
  <c r="E293" i="1"/>
  <c r="F293" i="1" s="1"/>
  <c r="B294" i="1"/>
  <c r="C294" i="1" s="1"/>
  <c r="E294" i="1"/>
  <c r="F294" i="1" s="1"/>
  <c r="B295" i="1"/>
  <c r="C295" i="1" s="1"/>
  <c r="E295" i="1"/>
  <c r="F295" i="1" s="1"/>
  <c r="B296" i="1"/>
  <c r="C296" i="1" s="1"/>
  <c r="E296" i="1"/>
  <c r="F296" i="1" s="1"/>
  <c r="B297" i="1"/>
  <c r="C297" i="1" s="1"/>
  <c r="E297" i="1"/>
  <c r="F297" i="1" s="1"/>
  <c r="B298" i="1"/>
  <c r="C298" i="1" s="1"/>
  <c r="E298" i="1"/>
  <c r="F298" i="1" s="1"/>
  <c r="B299" i="1"/>
  <c r="C299" i="1" s="1"/>
  <c r="E299" i="1"/>
  <c r="F299" i="1" s="1"/>
  <c r="B300" i="1"/>
  <c r="E300" i="1"/>
  <c r="B301" i="1"/>
  <c r="C301" i="1" s="1"/>
  <c r="E301" i="1"/>
  <c r="F301" i="1" s="1"/>
  <c r="B302" i="1"/>
  <c r="C302" i="1" s="1"/>
  <c r="E302" i="1"/>
  <c r="F302" i="1" s="1"/>
  <c r="B303" i="1"/>
  <c r="C303" i="1" s="1"/>
  <c r="E303" i="1"/>
  <c r="F303" i="1" s="1"/>
  <c r="B304" i="1"/>
  <c r="C304" i="1" s="1"/>
  <c r="E304" i="1"/>
  <c r="F304" i="1" s="1"/>
  <c r="B305" i="1"/>
  <c r="C305" i="1" s="1"/>
  <c r="E305" i="1"/>
  <c r="B306" i="1"/>
  <c r="C306" i="1" s="1"/>
  <c r="E306" i="1"/>
  <c r="F306" i="1" s="1"/>
  <c r="B307" i="1"/>
  <c r="C307" i="1" s="1"/>
  <c r="E307" i="1"/>
  <c r="F307" i="1" s="1"/>
  <c r="B308" i="1"/>
  <c r="C308" i="1" s="1"/>
  <c r="E308" i="1"/>
  <c r="F308" i="1" s="1"/>
  <c r="B309" i="1"/>
  <c r="C309" i="1" s="1"/>
  <c r="E309" i="1"/>
  <c r="F309" i="1" s="1"/>
  <c r="B310" i="1"/>
  <c r="C310" i="1" s="1"/>
  <c r="E310" i="1"/>
  <c r="F310" i="1" s="1"/>
  <c r="B311" i="1"/>
  <c r="C311" i="1" s="1"/>
  <c r="E311" i="1"/>
  <c r="F311" i="1" s="1"/>
  <c r="B312" i="1"/>
  <c r="C312" i="1" s="1"/>
  <c r="E312" i="1"/>
  <c r="F312" i="1" s="1"/>
  <c r="B313" i="1"/>
  <c r="C313" i="1" s="1"/>
  <c r="E313" i="1"/>
  <c r="F313" i="1" s="1"/>
  <c r="B314" i="1"/>
  <c r="C314" i="1" s="1"/>
  <c r="E314" i="1"/>
  <c r="F314" i="1" s="1"/>
  <c r="B315" i="1"/>
  <c r="C315" i="1" s="1"/>
  <c r="E315" i="1"/>
  <c r="B316" i="1"/>
  <c r="E316" i="1"/>
  <c r="F316" i="1" s="1"/>
  <c r="B317" i="1"/>
  <c r="C317" i="1" s="1"/>
  <c r="E317" i="1"/>
  <c r="F317" i="1" s="1"/>
  <c r="B318" i="1"/>
  <c r="C318" i="1" s="1"/>
  <c r="E318" i="1"/>
  <c r="F318" i="1" s="1"/>
  <c r="B319" i="1"/>
  <c r="C319" i="1" s="1"/>
  <c r="E319" i="1"/>
  <c r="F319" i="1" s="1"/>
  <c r="B320" i="1"/>
  <c r="C320" i="1" s="1"/>
  <c r="E320" i="1"/>
  <c r="F320" i="1"/>
  <c r="B321" i="1"/>
  <c r="E321" i="1"/>
  <c r="F321" i="1" s="1"/>
  <c r="B322" i="1"/>
  <c r="C322" i="1" s="1"/>
  <c r="E322" i="1"/>
  <c r="F322" i="1" s="1"/>
  <c r="B323" i="1"/>
  <c r="C323" i="1" s="1"/>
  <c r="E323" i="1"/>
  <c r="F323" i="1" s="1"/>
  <c r="B324" i="1"/>
  <c r="C324" i="1" s="1"/>
  <c r="E324" i="1"/>
  <c r="F324" i="1" s="1"/>
  <c r="B325" i="1"/>
  <c r="C325" i="1" s="1"/>
  <c r="E325" i="1"/>
  <c r="F325" i="1" s="1"/>
  <c r="B326" i="1"/>
  <c r="C326" i="1" s="1"/>
  <c r="E326" i="1"/>
  <c r="F326" i="1" s="1"/>
  <c r="B327" i="1"/>
  <c r="C327" i="1" s="1"/>
  <c r="E327" i="1"/>
  <c r="F327" i="1" s="1"/>
  <c r="B328" i="1"/>
  <c r="C328" i="1" s="1"/>
  <c r="E328" i="1"/>
  <c r="F328" i="1" s="1"/>
  <c r="B329" i="1"/>
  <c r="C329" i="1" s="1"/>
  <c r="E329" i="1"/>
  <c r="F329" i="1" s="1"/>
  <c r="B330" i="1"/>
  <c r="C330" i="1" s="1"/>
  <c r="E330" i="1"/>
  <c r="B331" i="1"/>
  <c r="E331" i="1"/>
  <c r="B332" i="1"/>
  <c r="C332" i="1" s="1"/>
  <c r="E332" i="1"/>
  <c r="F332" i="1" s="1"/>
  <c r="B333" i="1"/>
  <c r="C333" i="1" s="1"/>
  <c r="E333" i="1"/>
  <c r="F333" i="1" s="1"/>
  <c r="B334" i="1"/>
  <c r="C334" i="1" s="1"/>
  <c r="E334" i="1"/>
  <c r="F334" i="1" s="1"/>
  <c r="B335" i="1"/>
  <c r="C335" i="1" s="1"/>
  <c r="E335" i="1"/>
  <c r="F335" i="1" s="1"/>
  <c r="B336" i="1"/>
  <c r="C336" i="1" s="1"/>
  <c r="E336" i="1"/>
  <c r="F336" i="1" s="1"/>
  <c r="B337" i="1"/>
  <c r="E337" i="1"/>
  <c r="F337" i="1" s="1"/>
  <c r="B338" i="1"/>
  <c r="C338" i="1" s="1"/>
  <c r="E338" i="1"/>
  <c r="F338" i="1" s="1"/>
  <c r="B339" i="1"/>
  <c r="C339" i="1" s="1"/>
  <c r="E339" i="1"/>
  <c r="F339" i="1" s="1"/>
  <c r="B340" i="1"/>
  <c r="C340" i="1" s="1"/>
  <c r="E340" i="1"/>
  <c r="F340" i="1"/>
  <c r="B341" i="1"/>
  <c r="C341" i="1" s="1"/>
  <c r="E341" i="1"/>
  <c r="F341" i="1" s="1"/>
  <c r="B342" i="1"/>
  <c r="C342" i="1" s="1"/>
  <c r="E342" i="1"/>
  <c r="F342" i="1" s="1"/>
  <c r="B343" i="1"/>
  <c r="C343" i="1" s="1"/>
  <c r="E343" i="1"/>
  <c r="F343" i="1" s="1"/>
  <c r="B344" i="1"/>
  <c r="C344" i="1" s="1"/>
  <c r="E344" i="1"/>
  <c r="F344" i="1" s="1"/>
  <c r="B345" i="1"/>
  <c r="C345" i="1" s="1"/>
  <c r="E345" i="1"/>
  <c r="F345" i="1" s="1"/>
  <c r="B346" i="1"/>
  <c r="E346" i="1"/>
  <c r="B347" i="1"/>
  <c r="C347" i="1" s="1"/>
  <c r="E347" i="1"/>
  <c r="F347" i="1" s="1"/>
  <c r="B348" i="1"/>
  <c r="C348" i="1" s="1"/>
  <c r="E348" i="1"/>
  <c r="F348" i="1" s="1"/>
  <c r="B349" i="1"/>
  <c r="C349" i="1" s="1"/>
  <c r="E349" i="1"/>
  <c r="F349" i="1" s="1"/>
  <c r="B350" i="1"/>
  <c r="C350" i="1" s="1"/>
  <c r="E350" i="1"/>
  <c r="F350" i="1" s="1"/>
  <c r="B351" i="1"/>
  <c r="C351" i="1" s="1"/>
  <c r="E351" i="1"/>
  <c r="F351" i="1" s="1"/>
  <c r="B352" i="1"/>
  <c r="C352" i="1" s="1"/>
  <c r="E352" i="1"/>
  <c r="B353" i="1"/>
  <c r="C353" i="1" s="1"/>
  <c r="E353" i="1"/>
  <c r="F353" i="1" s="1"/>
  <c r="B354" i="1"/>
  <c r="C354" i="1" s="1"/>
  <c r="E354" i="1"/>
  <c r="F354" i="1" s="1"/>
  <c r="B355" i="1"/>
  <c r="C355" i="1" s="1"/>
  <c r="E355" i="1"/>
  <c r="F355" i="1" s="1"/>
  <c r="B356" i="1"/>
  <c r="C356" i="1" s="1"/>
  <c r="E356" i="1"/>
  <c r="F356" i="1" s="1"/>
  <c r="B357" i="1"/>
  <c r="C357" i="1" s="1"/>
  <c r="E357" i="1"/>
  <c r="F357" i="1" s="1"/>
  <c r="B358" i="1"/>
  <c r="C358" i="1" s="1"/>
  <c r="E358" i="1"/>
  <c r="F358" i="1" s="1"/>
  <c r="B359" i="1"/>
  <c r="C359" i="1" s="1"/>
  <c r="E359" i="1"/>
  <c r="F359" i="1" s="1"/>
  <c r="B360" i="1"/>
  <c r="C360" i="1" s="1"/>
  <c r="E360" i="1"/>
  <c r="F360" i="1" s="1"/>
  <c r="B361" i="1"/>
  <c r="C361" i="1" s="1"/>
  <c r="E361" i="1"/>
  <c r="F361" i="1" s="1"/>
  <c r="B362" i="1"/>
  <c r="E362" i="1"/>
  <c r="B363" i="1"/>
  <c r="C363" i="1" s="1"/>
  <c r="E363" i="1"/>
  <c r="F363" i="1" s="1"/>
  <c r="B364" i="1"/>
  <c r="C364" i="1" s="1"/>
  <c r="E364" i="1"/>
  <c r="F364" i="1" s="1"/>
  <c r="B365" i="1"/>
  <c r="C365" i="1" s="1"/>
  <c r="E365" i="1"/>
  <c r="F365" i="1" s="1"/>
  <c r="B366" i="1"/>
  <c r="C366" i="1" s="1"/>
  <c r="E366" i="1"/>
  <c r="F366" i="1" s="1"/>
  <c r="B367" i="1"/>
  <c r="C367" i="1" s="1"/>
  <c r="E367" i="1"/>
  <c r="F367" i="1" s="1"/>
  <c r="B368" i="1"/>
  <c r="C368" i="1" s="1"/>
  <c r="E368" i="1"/>
  <c r="B369" i="1"/>
  <c r="C369" i="1" s="1"/>
  <c r="E369" i="1"/>
  <c r="F369" i="1" s="1"/>
  <c r="B370" i="1"/>
  <c r="C370" i="1" s="1"/>
  <c r="E370" i="1"/>
  <c r="F370" i="1" s="1"/>
  <c r="B371" i="1"/>
  <c r="C371" i="1" s="1"/>
  <c r="E371" i="1"/>
  <c r="F371" i="1" s="1"/>
  <c r="B372" i="1"/>
  <c r="C372" i="1" s="1"/>
  <c r="E372" i="1"/>
  <c r="F372" i="1" s="1"/>
  <c r="B373" i="1"/>
  <c r="C373" i="1" s="1"/>
  <c r="E373" i="1"/>
  <c r="F373" i="1" s="1"/>
  <c r="B374" i="1"/>
  <c r="C374" i="1" s="1"/>
  <c r="E374" i="1"/>
  <c r="F374" i="1" s="1"/>
  <c r="B375" i="1"/>
  <c r="C375" i="1" s="1"/>
  <c r="E375" i="1"/>
  <c r="F375" i="1" s="1"/>
  <c r="B376" i="1"/>
  <c r="C376" i="1" s="1"/>
  <c r="E376" i="1"/>
  <c r="F376" i="1" s="1"/>
  <c r="B377" i="1"/>
  <c r="C377" i="1" s="1"/>
  <c r="E377" i="1"/>
  <c r="F377" i="1" s="1"/>
  <c r="B378" i="1"/>
  <c r="E378" i="1"/>
  <c r="B379" i="1"/>
  <c r="C379" i="1" s="1"/>
  <c r="E379" i="1"/>
  <c r="F379" i="1" s="1"/>
  <c r="B380" i="1"/>
  <c r="C380" i="1"/>
  <c r="E380" i="1"/>
  <c r="F380" i="1" s="1"/>
  <c r="B381" i="1"/>
  <c r="C381" i="1" s="1"/>
  <c r="E381" i="1"/>
  <c r="F381" i="1" s="1"/>
  <c r="B382" i="1"/>
  <c r="C382" i="1" s="1"/>
  <c r="E382" i="1"/>
  <c r="F382" i="1" s="1"/>
  <c r="B383" i="1"/>
  <c r="C383" i="1" s="1"/>
  <c r="E383" i="1"/>
  <c r="F383" i="1" s="1"/>
  <c r="B384" i="1"/>
  <c r="E384" i="1"/>
  <c r="F384" i="1" s="1"/>
  <c r="B385" i="1"/>
  <c r="C385" i="1" s="1"/>
  <c r="E385" i="1"/>
  <c r="F385" i="1" s="1"/>
  <c r="B386" i="1"/>
  <c r="C386" i="1" s="1"/>
  <c r="E386" i="1"/>
  <c r="F386" i="1" s="1"/>
  <c r="B387" i="1"/>
  <c r="C387" i="1" s="1"/>
  <c r="E387" i="1"/>
  <c r="F387" i="1" s="1"/>
  <c r="B388" i="1"/>
  <c r="C388" i="1" s="1"/>
  <c r="E388" i="1"/>
  <c r="F388" i="1" s="1"/>
  <c r="B389" i="1"/>
  <c r="C389" i="1" s="1"/>
  <c r="E389" i="1"/>
  <c r="F389" i="1" s="1"/>
  <c r="B390" i="1"/>
  <c r="C390" i="1" s="1"/>
  <c r="E390" i="1"/>
  <c r="F390" i="1" s="1"/>
  <c r="B391" i="1"/>
  <c r="C391" i="1" s="1"/>
  <c r="E391" i="1"/>
  <c r="F391" i="1" s="1"/>
  <c r="B392" i="1"/>
  <c r="C392" i="1" s="1"/>
  <c r="E392" i="1"/>
  <c r="F392" i="1" s="1"/>
  <c r="B393" i="1"/>
  <c r="C393" i="1" s="1"/>
  <c r="E393" i="1"/>
  <c r="B394" i="1"/>
  <c r="E394" i="1"/>
  <c r="F394" i="1" s="1"/>
  <c r="B395" i="1"/>
  <c r="C395" i="1" s="1"/>
  <c r="E395" i="1"/>
  <c r="F395" i="1" s="1"/>
  <c r="B396" i="1"/>
  <c r="C396" i="1" s="1"/>
  <c r="E396" i="1"/>
  <c r="F396" i="1" s="1"/>
  <c r="B397" i="1"/>
  <c r="C397" i="1" s="1"/>
  <c r="E397" i="1"/>
  <c r="F397" i="1" s="1"/>
  <c r="B398" i="1"/>
  <c r="C398" i="1" s="1"/>
  <c r="E398" i="1"/>
  <c r="F398" i="1" s="1"/>
  <c r="B399" i="1"/>
  <c r="C399" i="1" s="1"/>
  <c r="E399" i="1"/>
  <c r="F399" i="1" s="1"/>
  <c r="B400" i="1"/>
  <c r="E400" i="1"/>
  <c r="F400" i="1" s="1"/>
  <c r="B401" i="1"/>
  <c r="C401" i="1" s="1"/>
  <c r="E401" i="1"/>
  <c r="F401" i="1" s="1"/>
  <c r="B402" i="1"/>
  <c r="C402" i="1" s="1"/>
  <c r="E402" i="1"/>
  <c r="F402" i="1" s="1"/>
  <c r="B403" i="1"/>
  <c r="C403" i="1" s="1"/>
  <c r="E403" i="1"/>
  <c r="F403" i="1" s="1"/>
  <c r="B404" i="1"/>
  <c r="C404" i="1" s="1"/>
  <c r="E404" i="1"/>
  <c r="F404" i="1" s="1"/>
  <c r="B405" i="1"/>
  <c r="C405" i="1" s="1"/>
  <c r="E405" i="1"/>
  <c r="F405" i="1" s="1"/>
  <c r="B406" i="1"/>
  <c r="C406" i="1" s="1"/>
  <c r="E406" i="1"/>
  <c r="F406" i="1" s="1"/>
  <c r="B407" i="1"/>
  <c r="C407" i="1" s="1"/>
  <c r="E407" i="1"/>
  <c r="F407" i="1" s="1"/>
  <c r="B408" i="1"/>
  <c r="C408" i="1" s="1"/>
  <c r="E408" i="1"/>
  <c r="F408" i="1" s="1"/>
  <c r="B409" i="1"/>
  <c r="C409" i="1" s="1"/>
  <c r="E409" i="1"/>
  <c r="B410" i="1"/>
  <c r="E410" i="1"/>
  <c r="F410" i="1" s="1"/>
  <c r="B411" i="1"/>
  <c r="C411" i="1" s="1"/>
  <c r="E411" i="1"/>
  <c r="F411" i="1" s="1"/>
  <c r="B412" i="1"/>
  <c r="C412" i="1" s="1"/>
  <c r="E412" i="1"/>
  <c r="F412" i="1" s="1"/>
  <c r="B413" i="1"/>
  <c r="C413" i="1" s="1"/>
  <c r="E413" i="1"/>
  <c r="F413" i="1" s="1"/>
  <c r="B414" i="1"/>
  <c r="C414" i="1" s="1"/>
  <c r="E414" i="1"/>
  <c r="F414" i="1" s="1"/>
  <c r="B415" i="1"/>
  <c r="C415" i="1" s="1"/>
  <c r="E415" i="1"/>
  <c r="F415" i="1" s="1"/>
  <c r="B416" i="1"/>
  <c r="E416" i="1"/>
  <c r="F416" i="1" s="1"/>
  <c r="B417" i="1"/>
  <c r="C417" i="1" s="1"/>
  <c r="E417" i="1"/>
  <c r="F417" i="1" s="1"/>
  <c r="B418" i="1"/>
  <c r="C418" i="1" s="1"/>
  <c r="E418" i="1"/>
  <c r="F418" i="1" s="1"/>
  <c r="B419" i="1"/>
  <c r="C419" i="1" s="1"/>
  <c r="E419" i="1"/>
  <c r="F419" i="1" s="1"/>
  <c r="B420" i="1"/>
  <c r="C420" i="1" s="1"/>
  <c r="E420" i="1"/>
  <c r="F420" i="1" s="1"/>
  <c r="B421" i="1"/>
  <c r="C421" i="1" s="1"/>
  <c r="E421" i="1"/>
  <c r="F421" i="1" s="1"/>
  <c r="B422" i="1"/>
  <c r="C422" i="1" s="1"/>
  <c r="E422" i="1"/>
  <c r="F422" i="1" s="1"/>
  <c r="B423" i="1"/>
  <c r="C423" i="1" s="1"/>
  <c r="E423" i="1"/>
  <c r="F423" i="1" s="1"/>
  <c r="B424" i="1"/>
  <c r="C424" i="1" s="1"/>
  <c r="E424" i="1"/>
  <c r="F424" i="1" s="1"/>
  <c r="B425" i="1"/>
  <c r="C425" i="1" s="1"/>
  <c r="E425" i="1"/>
  <c r="B426" i="1"/>
  <c r="E426" i="1"/>
  <c r="F426" i="1" s="1"/>
  <c r="B427" i="1"/>
  <c r="C427" i="1" s="1"/>
  <c r="E427" i="1"/>
  <c r="F427" i="1" s="1"/>
  <c r="B428" i="1"/>
  <c r="C428" i="1" s="1"/>
  <c r="E428" i="1"/>
  <c r="F428" i="1" s="1"/>
  <c r="B429" i="1"/>
  <c r="C429" i="1" s="1"/>
  <c r="E429" i="1"/>
  <c r="F429" i="1" s="1"/>
  <c r="B430" i="1"/>
  <c r="C430" i="1" s="1"/>
  <c r="E430" i="1"/>
  <c r="F430" i="1" s="1"/>
  <c r="B431" i="1"/>
  <c r="C431" i="1" s="1"/>
  <c r="E431" i="1"/>
  <c r="F431" i="1" s="1"/>
  <c r="B432" i="1"/>
  <c r="E432" i="1"/>
  <c r="F432" i="1"/>
  <c r="B433" i="1"/>
  <c r="C433" i="1"/>
  <c r="E433" i="1"/>
  <c r="F433" i="1" s="1"/>
  <c r="B434" i="1"/>
  <c r="C434" i="1" s="1"/>
  <c r="E434" i="1"/>
  <c r="F434" i="1" s="1"/>
  <c r="B435" i="1"/>
  <c r="C435" i="1" s="1"/>
  <c r="E435" i="1"/>
  <c r="F435" i="1" s="1"/>
  <c r="B436" i="1"/>
  <c r="C436" i="1" s="1"/>
  <c r="E436" i="1"/>
  <c r="F436" i="1" s="1"/>
  <c r="B437" i="1"/>
  <c r="C437" i="1" s="1"/>
  <c r="E437" i="1"/>
  <c r="F437" i="1" s="1"/>
  <c r="B438" i="1"/>
  <c r="C438" i="1" s="1"/>
  <c r="E438" i="1"/>
  <c r="F438" i="1" s="1"/>
  <c r="B439" i="1"/>
  <c r="C439" i="1" s="1"/>
  <c r="E439" i="1"/>
  <c r="F439" i="1" s="1"/>
  <c r="B440" i="1"/>
  <c r="C440" i="1" s="1"/>
  <c r="E440" i="1"/>
  <c r="B441" i="1"/>
  <c r="E441" i="1"/>
  <c r="F441" i="1" s="1"/>
  <c r="B442" i="1"/>
  <c r="C442" i="1" s="1"/>
  <c r="E442" i="1"/>
  <c r="F442" i="1" s="1"/>
  <c r="B443" i="1"/>
  <c r="C443" i="1" s="1"/>
  <c r="E443" i="1"/>
  <c r="F443" i="1" s="1"/>
  <c r="B444" i="1"/>
  <c r="C444" i="1" s="1"/>
  <c r="E444" i="1"/>
  <c r="F444" i="1" s="1"/>
  <c r="B445" i="1"/>
  <c r="C445" i="1" s="1"/>
  <c r="E445" i="1"/>
  <c r="F445" i="1" s="1"/>
  <c r="B446" i="1"/>
  <c r="C446" i="1" s="1"/>
  <c r="E446" i="1"/>
  <c r="F446" i="1" s="1"/>
  <c r="B447" i="1"/>
  <c r="C447" i="1" s="1"/>
  <c r="E447" i="1"/>
  <c r="F447" i="1" s="1"/>
  <c r="B448" i="1"/>
  <c r="C448" i="1" s="1"/>
  <c r="E448" i="1"/>
  <c r="F448" i="1" s="1"/>
  <c r="B449" i="1"/>
  <c r="C449" i="1" s="1"/>
  <c r="E449" i="1"/>
  <c r="F449" i="1" s="1"/>
  <c r="B450" i="1"/>
  <c r="C450" i="1" s="1"/>
  <c r="E450" i="1"/>
  <c r="F450" i="1" s="1"/>
  <c r="B451" i="1"/>
  <c r="C451" i="1" s="1"/>
  <c r="E451" i="1"/>
  <c r="F451" i="1" s="1"/>
  <c r="B452" i="1"/>
  <c r="C452" i="1" s="1"/>
  <c r="E452" i="1"/>
  <c r="F452" i="1" s="1"/>
  <c r="B453" i="1"/>
  <c r="C453" i="1" s="1"/>
  <c r="E453" i="1"/>
  <c r="F453" i="1" s="1"/>
  <c r="B454" i="1"/>
  <c r="C454" i="1" s="1"/>
  <c r="E454" i="1"/>
  <c r="F454" i="1" s="1"/>
  <c r="B455" i="1"/>
  <c r="C455" i="1" s="1"/>
  <c r="E455" i="1"/>
  <c r="F455" i="1" s="1"/>
  <c r="B456" i="1"/>
  <c r="E456" i="1"/>
  <c r="B457" i="1"/>
  <c r="C457" i="1" s="1"/>
  <c r="E457" i="1"/>
  <c r="F457" i="1" s="1"/>
  <c r="B458" i="1"/>
  <c r="C458" i="1" s="1"/>
  <c r="E458" i="1"/>
  <c r="F458" i="1" s="1"/>
  <c r="B459" i="1"/>
  <c r="C459" i="1" s="1"/>
  <c r="E459" i="1"/>
  <c r="F459" i="1" s="1"/>
  <c r="B460" i="1"/>
  <c r="C460" i="1" s="1"/>
  <c r="E460" i="1"/>
  <c r="F460" i="1" s="1"/>
  <c r="B461" i="1"/>
  <c r="C461" i="1" s="1"/>
  <c r="E461" i="1"/>
  <c r="F461" i="1" s="1"/>
  <c r="B462" i="1"/>
  <c r="C462" i="1" s="1"/>
  <c r="E462" i="1"/>
  <c r="B463" i="1"/>
  <c r="C463" i="1" s="1"/>
  <c r="E463" i="1"/>
  <c r="F463" i="1" s="1"/>
  <c r="B464" i="1"/>
  <c r="C464" i="1" s="1"/>
  <c r="E464" i="1"/>
  <c r="F464" i="1" s="1"/>
  <c r="B465" i="1"/>
  <c r="C465" i="1" s="1"/>
  <c r="E465" i="1"/>
  <c r="F465" i="1" s="1"/>
  <c r="B466" i="1"/>
  <c r="C466" i="1" s="1"/>
  <c r="E466" i="1"/>
  <c r="F466" i="1" s="1"/>
  <c r="B467" i="1"/>
  <c r="C467" i="1" s="1"/>
  <c r="E467" i="1"/>
  <c r="F467" i="1" s="1"/>
  <c r="B468" i="1"/>
  <c r="C468" i="1" s="1"/>
  <c r="E468" i="1"/>
  <c r="F468" i="1" s="1"/>
  <c r="B469" i="1"/>
  <c r="C469" i="1" s="1"/>
  <c r="E469" i="1"/>
  <c r="F469" i="1" s="1"/>
  <c r="B470" i="1"/>
  <c r="C470" i="1" s="1"/>
  <c r="E470" i="1"/>
  <c r="F470" i="1" s="1"/>
  <c r="B471" i="1"/>
  <c r="C471" i="1" s="1"/>
  <c r="E471" i="1"/>
  <c r="F471" i="1" s="1"/>
  <c r="B472" i="1"/>
  <c r="E472" i="1"/>
  <c r="B473" i="1"/>
  <c r="C473" i="1" s="1"/>
  <c r="E473" i="1"/>
  <c r="F473" i="1" s="1"/>
  <c r="B474" i="1"/>
  <c r="C474" i="1"/>
  <c r="E474" i="1"/>
  <c r="F474" i="1" s="1"/>
  <c r="B475" i="1"/>
  <c r="C475" i="1" s="1"/>
  <c r="E475" i="1"/>
  <c r="F475" i="1" s="1"/>
  <c r="B476" i="1"/>
  <c r="C476" i="1" s="1"/>
  <c r="E476" i="1"/>
  <c r="F476" i="1" s="1"/>
  <c r="B477" i="1"/>
  <c r="C477" i="1" s="1"/>
  <c r="E477" i="1"/>
  <c r="F477" i="1" s="1"/>
  <c r="B478" i="1"/>
  <c r="C478" i="1" s="1"/>
  <c r="E478" i="1"/>
  <c r="F478" i="1" s="1"/>
  <c r="B479" i="1"/>
  <c r="E479" i="1"/>
  <c r="F479" i="1" s="1"/>
  <c r="B480" i="1"/>
  <c r="C480" i="1" s="1"/>
  <c r="E480" i="1"/>
  <c r="F480" i="1" s="1"/>
  <c r="B481" i="1"/>
  <c r="C481" i="1" s="1"/>
  <c r="E481" i="1"/>
  <c r="F481" i="1" s="1"/>
  <c r="B482" i="1"/>
  <c r="C482" i="1" s="1"/>
  <c r="E482" i="1"/>
  <c r="F482" i="1" s="1"/>
  <c r="B483" i="1"/>
  <c r="C483" i="1" s="1"/>
  <c r="E483" i="1"/>
  <c r="F483" i="1" s="1"/>
  <c r="B484" i="1"/>
  <c r="C484" i="1" s="1"/>
  <c r="E484" i="1"/>
  <c r="F484" i="1"/>
  <c r="B485" i="1"/>
  <c r="C485" i="1" s="1"/>
  <c r="E485" i="1"/>
  <c r="F485" i="1" s="1"/>
  <c r="B486" i="1"/>
  <c r="E486" i="1"/>
  <c r="F486" i="1" s="1"/>
  <c r="B487" i="1"/>
  <c r="E487" i="1"/>
  <c r="B488" i="1"/>
  <c r="C488" i="1" s="1"/>
  <c r="E488" i="1"/>
  <c r="F488" i="1" s="1"/>
  <c r="B489" i="1"/>
  <c r="C489" i="1" s="1"/>
  <c r="E489" i="1"/>
  <c r="F489" i="1" s="1"/>
  <c r="B490" i="1"/>
  <c r="C490" i="1" s="1"/>
  <c r="E490" i="1"/>
  <c r="F490" i="1" s="1"/>
  <c r="B491" i="1"/>
  <c r="C491" i="1"/>
  <c r="E491" i="1"/>
  <c r="F491" i="1" s="1"/>
  <c r="B492" i="1"/>
  <c r="C492" i="1" s="1"/>
  <c r="E492" i="1"/>
  <c r="F492" i="1" s="1"/>
  <c r="B493" i="1"/>
  <c r="C493" i="1" s="1"/>
  <c r="E493" i="1"/>
  <c r="F493" i="1" s="1"/>
  <c r="B494" i="1"/>
  <c r="C494" i="1" s="1"/>
  <c r="E494" i="1"/>
  <c r="F494" i="1" s="1"/>
  <c r="B495" i="1"/>
  <c r="C495" i="1" s="1"/>
  <c r="E495" i="1"/>
  <c r="F495" i="1" s="1"/>
  <c r="B496" i="1"/>
  <c r="C496" i="1" s="1"/>
  <c r="E496" i="1"/>
  <c r="F496" i="1" s="1"/>
  <c r="B497" i="1"/>
  <c r="C497" i="1" s="1"/>
  <c r="E497" i="1"/>
  <c r="F497" i="1" s="1"/>
  <c r="B498" i="1"/>
  <c r="C498" i="1" s="1"/>
  <c r="E498" i="1"/>
  <c r="F498" i="1" s="1"/>
  <c r="B499" i="1"/>
  <c r="C499" i="1" s="1"/>
  <c r="E499" i="1"/>
  <c r="F499" i="1" s="1"/>
  <c r="B500" i="1"/>
  <c r="C500" i="1" s="1"/>
  <c r="E500" i="1"/>
  <c r="F500" i="1" s="1"/>
  <c r="B501" i="1"/>
  <c r="C501" i="1" s="1"/>
  <c r="E501" i="1"/>
  <c r="F501" i="1" s="1"/>
  <c r="B502" i="1"/>
  <c r="E502" i="1"/>
  <c r="B503" i="1"/>
  <c r="C503" i="1" s="1"/>
  <c r="E503" i="1"/>
  <c r="F503" i="1" s="1"/>
  <c r="B504" i="1"/>
  <c r="C504" i="1" s="1"/>
  <c r="E504" i="1"/>
  <c r="F504" i="1" s="1"/>
  <c r="B505" i="1"/>
  <c r="C505" i="1" s="1"/>
  <c r="E505" i="1"/>
  <c r="F505" i="1" s="1"/>
  <c r="B506" i="1"/>
  <c r="C506" i="1" s="1"/>
  <c r="E506" i="1"/>
  <c r="F506" i="1" s="1"/>
  <c r="B507" i="1"/>
  <c r="C507" i="1" s="1"/>
  <c r="E507" i="1"/>
  <c r="F507" i="1" s="1"/>
  <c r="B508" i="1"/>
  <c r="C508" i="1" s="1"/>
  <c r="E508" i="1"/>
  <c r="F508" i="1" s="1"/>
  <c r="B509" i="1"/>
  <c r="C509" i="1" s="1"/>
  <c r="E509" i="1"/>
  <c r="F509" i="1" s="1"/>
  <c r="B510" i="1"/>
  <c r="C510" i="1" s="1"/>
  <c r="E510" i="1"/>
  <c r="F510" i="1" s="1"/>
  <c r="B511" i="1"/>
  <c r="C511" i="1" s="1"/>
  <c r="E511" i="1"/>
  <c r="F511" i="1" s="1"/>
  <c r="B512" i="1"/>
  <c r="C512" i="1" s="1"/>
  <c r="E512" i="1"/>
  <c r="F512" i="1" s="1"/>
  <c r="B513" i="1"/>
  <c r="C513" i="1" s="1"/>
  <c r="E513" i="1"/>
  <c r="F513" i="1" s="1"/>
  <c r="B514" i="1"/>
  <c r="C514" i="1" s="1"/>
  <c r="E514" i="1"/>
  <c r="F514" i="1" s="1"/>
  <c r="B515" i="1"/>
  <c r="C515" i="1" s="1"/>
  <c r="E515" i="1"/>
  <c r="F515" i="1" s="1"/>
  <c r="B516" i="1"/>
  <c r="C516" i="1" s="1"/>
  <c r="E516" i="1"/>
  <c r="F516" i="1" s="1"/>
  <c r="B517" i="1"/>
  <c r="C517" i="1" s="1"/>
  <c r="E517" i="1"/>
  <c r="F517" i="1" s="1"/>
  <c r="B518" i="1"/>
  <c r="E518" i="1"/>
  <c r="F518" i="1" s="1"/>
  <c r="B519" i="1"/>
  <c r="C519" i="1" s="1"/>
  <c r="E519" i="1"/>
  <c r="B520" i="1"/>
  <c r="C520" i="1" s="1"/>
  <c r="E520" i="1"/>
  <c r="F520" i="1" s="1"/>
  <c r="B521" i="1"/>
  <c r="C521" i="1" s="1"/>
  <c r="E521" i="1"/>
  <c r="F521" i="1" s="1"/>
  <c r="B522" i="1"/>
  <c r="C522" i="1" s="1"/>
  <c r="E522" i="1"/>
  <c r="F522" i="1" s="1"/>
  <c r="B523" i="1"/>
  <c r="C523" i="1" s="1"/>
  <c r="E523" i="1"/>
  <c r="F523" i="1" s="1"/>
  <c r="B524" i="1"/>
  <c r="C524" i="1" s="1"/>
  <c r="E524" i="1"/>
  <c r="F524" i="1" s="1"/>
  <c r="B525" i="1"/>
  <c r="C525" i="1" s="1"/>
  <c r="E525" i="1"/>
  <c r="F525" i="1" s="1"/>
  <c r="B526" i="1"/>
  <c r="C526" i="1" s="1"/>
  <c r="E526" i="1"/>
  <c r="F526" i="1" s="1"/>
  <c r="B527" i="1"/>
  <c r="C527" i="1" s="1"/>
  <c r="E527" i="1"/>
  <c r="F527" i="1" s="1"/>
  <c r="B528" i="1"/>
  <c r="C528" i="1" s="1"/>
  <c r="E528" i="1"/>
  <c r="F528" i="1" s="1"/>
  <c r="B529" i="1"/>
  <c r="C529" i="1" s="1"/>
  <c r="E529" i="1"/>
  <c r="F529" i="1" s="1"/>
  <c r="B530" i="1"/>
  <c r="C530" i="1" s="1"/>
  <c r="E530" i="1"/>
  <c r="F530" i="1" s="1"/>
  <c r="B531" i="1"/>
  <c r="C531" i="1" s="1"/>
  <c r="E531" i="1"/>
  <c r="F531" i="1" s="1"/>
  <c r="B532" i="1"/>
  <c r="C532" i="1" s="1"/>
  <c r="E532" i="1"/>
  <c r="F532" i="1" s="1"/>
  <c r="B533" i="1"/>
  <c r="C533" i="1" s="1"/>
  <c r="E533" i="1"/>
  <c r="B534" i="1"/>
  <c r="E534" i="1"/>
  <c r="F534" i="1" s="1"/>
  <c r="B535" i="1"/>
  <c r="C535" i="1" s="1"/>
  <c r="E535" i="1"/>
  <c r="B536" i="1"/>
  <c r="C536" i="1" s="1"/>
  <c r="E536" i="1"/>
  <c r="F536" i="1" s="1"/>
  <c r="B537" i="1"/>
  <c r="C537" i="1" s="1"/>
  <c r="E537" i="1"/>
  <c r="F537" i="1" s="1"/>
  <c r="B538" i="1"/>
  <c r="C538" i="1" s="1"/>
  <c r="E538" i="1"/>
  <c r="F538" i="1" s="1"/>
  <c r="B539" i="1"/>
  <c r="C539" i="1" s="1"/>
  <c r="E539" i="1"/>
  <c r="F539" i="1" s="1"/>
  <c r="B540" i="1"/>
  <c r="C540" i="1" s="1"/>
  <c r="E540" i="1"/>
  <c r="F540" i="1" s="1"/>
  <c r="B541" i="1"/>
  <c r="C541" i="1" s="1"/>
  <c r="E541" i="1"/>
  <c r="F541" i="1" s="1"/>
  <c r="B542" i="1"/>
  <c r="C542" i="1" s="1"/>
  <c r="E542" i="1"/>
  <c r="F542" i="1" s="1"/>
  <c r="B543" i="1"/>
  <c r="C543" i="1" s="1"/>
  <c r="E543" i="1"/>
  <c r="F543" i="1" s="1"/>
  <c r="B544" i="1"/>
  <c r="C544" i="1" s="1"/>
  <c r="E544" i="1"/>
  <c r="F544" i="1" s="1"/>
  <c r="B545" i="1"/>
  <c r="C545" i="1" s="1"/>
  <c r="E545" i="1"/>
  <c r="F545" i="1" s="1"/>
  <c r="B546" i="1"/>
  <c r="C546" i="1" s="1"/>
  <c r="E546" i="1"/>
  <c r="F546" i="1" s="1"/>
  <c r="B547" i="1"/>
  <c r="C547" i="1" s="1"/>
  <c r="E547" i="1"/>
  <c r="F547" i="1" s="1"/>
  <c r="B548" i="1"/>
  <c r="C548" i="1" s="1"/>
  <c r="E548" i="1"/>
  <c r="F548" i="1" s="1"/>
  <c r="B549" i="1"/>
  <c r="C549" i="1" s="1"/>
  <c r="E549" i="1"/>
  <c r="B550" i="1"/>
  <c r="C550" i="1" s="1"/>
  <c r="E550" i="1"/>
  <c r="F550" i="1" s="1"/>
  <c r="B551" i="1"/>
  <c r="E551" i="1"/>
  <c r="B552" i="1"/>
  <c r="C552" i="1" s="1"/>
  <c r="E552" i="1"/>
  <c r="F552" i="1" s="1"/>
  <c r="B553" i="1"/>
  <c r="C553" i="1" s="1"/>
  <c r="E553" i="1"/>
  <c r="F553" i="1" s="1"/>
  <c r="B554" i="1"/>
  <c r="C554" i="1" s="1"/>
  <c r="E554" i="1"/>
  <c r="F554" i="1" s="1"/>
  <c r="B555" i="1"/>
  <c r="C555" i="1" s="1"/>
  <c r="E555" i="1"/>
  <c r="F555" i="1" s="1"/>
  <c r="B556" i="1"/>
  <c r="C556" i="1" s="1"/>
  <c r="E556" i="1"/>
  <c r="F556" i="1" s="1"/>
  <c r="B557" i="1"/>
  <c r="C557" i="1" s="1"/>
  <c r="E557" i="1"/>
  <c r="F557" i="1" s="1"/>
  <c r="B558" i="1"/>
  <c r="C558" i="1" s="1"/>
  <c r="E558" i="1"/>
  <c r="F558" i="1" s="1"/>
  <c r="B559" i="1"/>
  <c r="C559" i="1" s="1"/>
  <c r="E559" i="1"/>
  <c r="F559" i="1" s="1"/>
  <c r="B560" i="1"/>
  <c r="C560" i="1" s="1"/>
  <c r="E560" i="1"/>
  <c r="F560" i="1" s="1"/>
  <c r="B561" i="1"/>
  <c r="C561" i="1" s="1"/>
  <c r="E561" i="1"/>
  <c r="F561" i="1" s="1"/>
  <c r="B562" i="1"/>
  <c r="C562" i="1" s="1"/>
  <c r="E562" i="1"/>
  <c r="F562" i="1" s="1"/>
  <c r="B563" i="1"/>
  <c r="C563" i="1" s="1"/>
  <c r="E563" i="1"/>
  <c r="F563" i="1" s="1"/>
  <c r="B564" i="1"/>
  <c r="C564" i="1" s="1"/>
  <c r="E564" i="1"/>
  <c r="F564" i="1" s="1"/>
  <c r="B565" i="1"/>
  <c r="E565" i="1"/>
  <c r="B566" i="1"/>
  <c r="C566" i="1" s="1"/>
  <c r="E566" i="1"/>
  <c r="F566" i="1" s="1"/>
  <c r="B567" i="1"/>
  <c r="E567" i="1"/>
  <c r="B568" i="1"/>
  <c r="C568" i="1" s="1"/>
  <c r="E568" i="1"/>
  <c r="F568" i="1" s="1"/>
  <c r="B569" i="1"/>
  <c r="C569" i="1" s="1"/>
  <c r="E569" i="1"/>
  <c r="F569" i="1" s="1"/>
  <c r="B570" i="1"/>
  <c r="C570" i="1" s="1"/>
  <c r="E570" i="1"/>
  <c r="F570" i="1" s="1"/>
  <c r="B571" i="1"/>
  <c r="C571" i="1" s="1"/>
  <c r="E571" i="1"/>
  <c r="F571" i="1" s="1"/>
  <c r="B572" i="1"/>
  <c r="C572" i="1" s="1"/>
  <c r="E572" i="1"/>
  <c r="F572" i="1" s="1"/>
  <c r="B573" i="1"/>
  <c r="C573" i="1" s="1"/>
  <c r="E573" i="1"/>
  <c r="F573" i="1" s="1"/>
  <c r="B574" i="1"/>
  <c r="C574" i="1" s="1"/>
  <c r="E574" i="1"/>
  <c r="F574" i="1" s="1"/>
  <c r="B575" i="1"/>
  <c r="C575" i="1" s="1"/>
  <c r="E575" i="1"/>
  <c r="F575" i="1" s="1"/>
  <c r="B576" i="1"/>
  <c r="C576" i="1" s="1"/>
  <c r="E576" i="1"/>
  <c r="F576" i="1" s="1"/>
  <c r="B577" i="1"/>
  <c r="C577" i="1" s="1"/>
  <c r="E577" i="1"/>
  <c r="F577" i="1" s="1"/>
  <c r="B578" i="1"/>
  <c r="C578" i="1" s="1"/>
  <c r="E578" i="1"/>
  <c r="F578" i="1" s="1"/>
  <c r="B579" i="1"/>
  <c r="C579" i="1" s="1"/>
  <c r="E579" i="1"/>
  <c r="F579" i="1" s="1"/>
  <c r="B580" i="1"/>
  <c r="C580" i="1" s="1"/>
  <c r="E580" i="1"/>
  <c r="F580" i="1" s="1"/>
  <c r="B581" i="1"/>
  <c r="E581" i="1"/>
  <c r="B582" i="1"/>
  <c r="C582" i="1"/>
  <c r="E582" i="1"/>
  <c r="F582" i="1" s="1"/>
  <c r="B583" i="1"/>
  <c r="E583" i="1"/>
  <c r="F583" i="1" s="1"/>
  <c r="B584" i="1"/>
  <c r="C584" i="1" s="1"/>
  <c r="E584" i="1"/>
  <c r="F584" i="1" s="1"/>
  <c r="B585" i="1"/>
  <c r="C585" i="1" s="1"/>
  <c r="E585" i="1"/>
  <c r="F585" i="1" s="1"/>
  <c r="B586" i="1"/>
  <c r="C586" i="1" s="1"/>
  <c r="E586" i="1"/>
  <c r="F586" i="1" s="1"/>
  <c r="B587" i="1"/>
  <c r="C587" i="1" s="1"/>
  <c r="E587" i="1"/>
  <c r="F587" i="1" s="1"/>
  <c r="B588" i="1"/>
  <c r="C588" i="1" s="1"/>
  <c r="E588" i="1"/>
  <c r="F588" i="1" s="1"/>
  <c r="B589" i="1"/>
  <c r="C589" i="1" s="1"/>
  <c r="E589" i="1"/>
  <c r="F589" i="1" s="1"/>
  <c r="B590" i="1"/>
  <c r="C590" i="1" s="1"/>
  <c r="E590" i="1"/>
  <c r="F590" i="1" s="1"/>
  <c r="B591" i="1"/>
  <c r="C591" i="1"/>
  <c r="E591" i="1"/>
  <c r="F591" i="1"/>
  <c r="B592" i="1"/>
  <c r="C592" i="1" s="1"/>
  <c r="E592" i="1"/>
  <c r="F592" i="1" s="1"/>
  <c r="B593" i="1"/>
  <c r="C593" i="1" s="1"/>
  <c r="E593" i="1"/>
  <c r="F593" i="1" s="1"/>
  <c r="B594" i="1"/>
  <c r="C594" i="1" s="1"/>
  <c r="E594" i="1"/>
  <c r="F594" i="1" s="1"/>
  <c r="B595" i="1"/>
  <c r="C595" i="1" s="1"/>
  <c r="E595" i="1"/>
  <c r="B596" i="1"/>
  <c r="E596" i="1"/>
  <c r="F596" i="1" s="1"/>
  <c r="B597" i="1"/>
  <c r="C597" i="1" s="1"/>
  <c r="E597" i="1"/>
  <c r="B598" i="1"/>
  <c r="E598" i="1"/>
  <c r="F598" i="1" s="1"/>
  <c r="B599" i="1"/>
  <c r="C599" i="1" s="1"/>
  <c r="E599" i="1"/>
  <c r="F599" i="1" s="1"/>
  <c r="B600" i="1"/>
  <c r="C600" i="1" s="1"/>
  <c r="E600" i="1"/>
  <c r="F600" i="1" s="1"/>
  <c r="B601" i="1"/>
  <c r="C601" i="1" s="1"/>
  <c r="E601" i="1"/>
  <c r="F601" i="1" s="1"/>
  <c r="B602" i="1"/>
  <c r="C602" i="1" s="1"/>
  <c r="E602" i="1"/>
  <c r="F602" i="1" s="1"/>
  <c r="B603" i="1"/>
  <c r="C603" i="1" s="1"/>
  <c r="E603" i="1"/>
  <c r="F603" i="1" s="1"/>
  <c r="B604" i="1"/>
  <c r="C604" i="1" s="1"/>
  <c r="E604" i="1"/>
  <c r="F604" i="1" s="1"/>
  <c r="B605" i="1"/>
  <c r="C605" i="1" s="1"/>
  <c r="E605" i="1"/>
  <c r="F605" i="1" s="1"/>
  <c r="B606" i="1"/>
  <c r="C606" i="1" s="1"/>
  <c r="E606" i="1"/>
  <c r="F606" i="1" s="1"/>
  <c r="B607" i="1"/>
  <c r="C607" i="1" s="1"/>
  <c r="E607" i="1"/>
  <c r="F607" i="1" s="1"/>
  <c r="B608" i="1"/>
  <c r="C608" i="1" s="1"/>
  <c r="E608" i="1"/>
  <c r="F608" i="1" s="1"/>
  <c r="B609" i="1"/>
  <c r="C609" i="1" s="1"/>
  <c r="E609" i="1"/>
  <c r="F609" i="1" s="1"/>
  <c r="B610" i="1"/>
  <c r="C610" i="1" s="1"/>
  <c r="E610" i="1"/>
  <c r="F610" i="1" s="1"/>
  <c r="B611" i="1"/>
  <c r="C611" i="1" s="1"/>
  <c r="E611" i="1"/>
  <c r="B612" i="1"/>
  <c r="E612" i="1"/>
  <c r="F612" i="1" s="1"/>
  <c r="B613" i="1"/>
  <c r="C613" i="1" s="1"/>
  <c r="E613" i="1"/>
  <c r="B614" i="1"/>
  <c r="E614" i="1"/>
  <c r="F614" i="1" s="1"/>
  <c r="B615" i="1"/>
  <c r="C615" i="1" s="1"/>
  <c r="E615" i="1"/>
  <c r="F615" i="1" s="1"/>
  <c r="B616" i="1"/>
  <c r="C616" i="1" s="1"/>
  <c r="E616" i="1"/>
  <c r="F616" i="1" s="1"/>
  <c r="B617" i="1"/>
  <c r="C617" i="1" s="1"/>
  <c r="E617" i="1"/>
  <c r="F617" i="1" s="1"/>
  <c r="B618" i="1"/>
  <c r="C618" i="1" s="1"/>
  <c r="E618" i="1"/>
  <c r="F618" i="1" s="1"/>
  <c r="B619" i="1"/>
  <c r="C619" i="1"/>
  <c r="E619" i="1"/>
  <c r="F619" i="1" s="1"/>
  <c r="B620" i="1"/>
  <c r="C620" i="1" s="1"/>
  <c r="E620" i="1"/>
  <c r="F620" i="1" s="1"/>
  <c r="B621" i="1"/>
  <c r="C621" i="1" s="1"/>
  <c r="E621" i="1"/>
  <c r="F621" i="1" s="1"/>
  <c r="B622" i="1"/>
  <c r="C622" i="1" s="1"/>
  <c r="E622" i="1"/>
  <c r="F622" i="1" s="1"/>
  <c r="B623" i="1"/>
  <c r="C623" i="1" s="1"/>
  <c r="E623" i="1"/>
  <c r="F623" i="1" s="1"/>
  <c r="B624" i="1"/>
  <c r="C624" i="1" s="1"/>
  <c r="E624" i="1"/>
  <c r="F624" i="1" s="1"/>
  <c r="B625" i="1"/>
  <c r="C625" i="1" s="1"/>
  <c r="E625" i="1"/>
  <c r="F625" i="1" s="1"/>
  <c r="B626" i="1"/>
  <c r="C626" i="1" s="1"/>
  <c r="E626" i="1"/>
  <c r="F626" i="1" s="1"/>
  <c r="B627" i="1"/>
  <c r="E627" i="1"/>
  <c r="B628" i="1"/>
  <c r="C628" i="1" s="1"/>
  <c r="E628" i="1"/>
  <c r="F628" i="1" s="1"/>
  <c r="B629" i="1"/>
  <c r="E629" i="1"/>
  <c r="B630" i="1"/>
  <c r="C630" i="1" s="1"/>
  <c r="E630" i="1"/>
  <c r="F630" i="1" s="1"/>
  <c r="B631" i="1"/>
  <c r="C631" i="1" s="1"/>
  <c r="E631" i="1"/>
  <c r="F631" i="1" s="1"/>
  <c r="B632" i="1"/>
  <c r="C632" i="1" s="1"/>
  <c r="E632" i="1"/>
  <c r="F632" i="1" s="1"/>
  <c r="B633" i="1"/>
  <c r="C633" i="1" s="1"/>
  <c r="E633" i="1"/>
  <c r="F633" i="1" s="1"/>
  <c r="B634" i="1"/>
  <c r="C634" i="1" s="1"/>
  <c r="E634" i="1"/>
  <c r="F634" i="1" s="1"/>
  <c r="B635" i="1"/>
  <c r="C635" i="1" s="1"/>
  <c r="E635" i="1"/>
  <c r="F635" i="1" s="1"/>
  <c r="B636" i="1"/>
  <c r="C636" i="1" s="1"/>
  <c r="E636" i="1"/>
  <c r="F636" i="1" s="1"/>
  <c r="B637" i="1"/>
  <c r="C637" i="1" s="1"/>
  <c r="E637" i="1"/>
  <c r="F637" i="1" s="1"/>
  <c r="B638" i="1"/>
  <c r="C638" i="1" s="1"/>
  <c r="E638" i="1"/>
  <c r="F638" i="1" s="1"/>
  <c r="B639" i="1"/>
  <c r="C639" i="1" s="1"/>
  <c r="E639" i="1"/>
  <c r="F639" i="1" s="1"/>
  <c r="B640" i="1"/>
  <c r="C640" i="1" s="1"/>
  <c r="E640" i="1"/>
  <c r="F640" i="1" s="1"/>
  <c r="B641" i="1"/>
  <c r="C641" i="1" s="1"/>
  <c r="E641" i="1"/>
  <c r="F641" i="1" s="1"/>
  <c r="B642" i="1"/>
  <c r="C642" i="1" s="1"/>
  <c r="E642" i="1"/>
  <c r="F642" i="1" s="1"/>
  <c r="B643" i="1"/>
  <c r="E643" i="1"/>
  <c r="B644" i="1"/>
  <c r="C644" i="1" s="1"/>
  <c r="E644" i="1"/>
  <c r="F644" i="1" s="1"/>
  <c r="B645" i="1"/>
  <c r="E645" i="1"/>
  <c r="B646" i="1"/>
  <c r="C646" i="1" s="1"/>
  <c r="E646" i="1"/>
  <c r="F646" i="1" s="1"/>
  <c r="B647" i="1"/>
  <c r="C647" i="1" s="1"/>
  <c r="E647" i="1"/>
  <c r="F647" i="1" s="1"/>
  <c r="B648" i="1"/>
  <c r="C648" i="1" s="1"/>
  <c r="E648" i="1"/>
  <c r="F648" i="1" s="1"/>
  <c r="B649" i="1"/>
  <c r="C649" i="1" s="1"/>
  <c r="E649" i="1"/>
  <c r="F649" i="1" s="1"/>
  <c r="B650" i="1"/>
  <c r="C650" i="1" s="1"/>
  <c r="E650" i="1"/>
  <c r="F650" i="1" s="1"/>
  <c r="B651" i="1"/>
  <c r="C651" i="1" s="1"/>
  <c r="E651" i="1"/>
  <c r="F651" i="1" s="1"/>
  <c r="B652" i="1"/>
  <c r="C652" i="1" s="1"/>
  <c r="E652" i="1"/>
  <c r="F652" i="1" s="1"/>
  <c r="B653" i="1"/>
  <c r="C653" i="1" s="1"/>
  <c r="E653" i="1"/>
  <c r="F653" i="1" s="1"/>
  <c r="B654" i="1"/>
  <c r="C654" i="1" s="1"/>
  <c r="E654" i="1"/>
  <c r="F654" i="1" s="1"/>
  <c r="B655" i="1"/>
  <c r="C655" i="1" s="1"/>
  <c r="E655" i="1"/>
  <c r="F655" i="1" s="1"/>
  <c r="B656" i="1"/>
  <c r="C656" i="1" s="1"/>
  <c r="E656" i="1"/>
  <c r="F656" i="1" s="1"/>
  <c r="B657" i="1"/>
  <c r="C657" i="1" s="1"/>
  <c r="E657" i="1"/>
  <c r="F657" i="1" s="1"/>
  <c r="B658" i="1"/>
  <c r="C658" i="1" s="1"/>
  <c r="E658" i="1"/>
  <c r="F658" i="1" s="1"/>
  <c r="B659" i="1"/>
  <c r="E659" i="1"/>
  <c r="B660" i="1"/>
  <c r="C660" i="1" s="1"/>
  <c r="E660" i="1"/>
  <c r="F660" i="1" s="1"/>
  <c r="B661" i="1"/>
  <c r="E661" i="1"/>
  <c r="B662" i="1"/>
  <c r="C662" i="1" s="1"/>
  <c r="E662" i="1"/>
  <c r="F662" i="1" s="1"/>
  <c r="B663" i="1"/>
  <c r="C663" i="1" s="1"/>
  <c r="E663" i="1"/>
  <c r="F663" i="1" s="1"/>
  <c r="B664" i="1"/>
  <c r="C664" i="1" s="1"/>
  <c r="E664" i="1"/>
  <c r="F664" i="1" s="1"/>
  <c r="B665" i="1"/>
  <c r="C665" i="1" s="1"/>
  <c r="E665" i="1"/>
  <c r="F665" i="1" s="1"/>
  <c r="B666" i="1"/>
  <c r="C666" i="1" s="1"/>
  <c r="E666" i="1"/>
  <c r="F666" i="1" s="1"/>
  <c r="B667" i="1"/>
  <c r="C667" i="1" s="1"/>
  <c r="E667" i="1"/>
  <c r="F667" i="1" s="1"/>
  <c r="B668" i="1"/>
  <c r="C668" i="1" s="1"/>
  <c r="E668" i="1"/>
  <c r="F668" i="1" s="1"/>
  <c r="B669" i="1"/>
  <c r="C669" i="1" s="1"/>
  <c r="E669" i="1"/>
  <c r="F669" i="1" s="1"/>
  <c r="B670" i="1"/>
  <c r="C670" i="1" s="1"/>
  <c r="E670" i="1"/>
  <c r="F670" i="1" s="1"/>
  <c r="B671" i="1"/>
  <c r="C671" i="1" s="1"/>
  <c r="E671" i="1"/>
  <c r="F671" i="1" s="1"/>
  <c r="B672" i="1"/>
  <c r="C672" i="1" s="1"/>
  <c r="E672" i="1"/>
  <c r="F672" i="1" s="1"/>
  <c r="B673" i="1"/>
  <c r="C673" i="1" s="1"/>
  <c r="E673" i="1"/>
  <c r="F673" i="1" s="1"/>
  <c r="B674" i="1"/>
  <c r="C674" i="1" s="1"/>
  <c r="E674" i="1"/>
  <c r="F674" i="1" s="1"/>
  <c r="B675" i="1"/>
  <c r="E675" i="1"/>
  <c r="B676" i="1"/>
  <c r="C676" i="1" s="1"/>
  <c r="E676" i="1"/>
  <c r="F676" i="1" s="1"/>
  <c r="B677" i="1"/>
  <c r="E677" i="1"/>
  <c r="B678" i="1"/>
  <c r="C678" i="1" s="1"/>
  <c r="E678" i="1"/>
  <c r="F678" i="1" s="1"/>
  <c r="B679" i="1"/>
  <c r="C679" i="1" s="1"/>
  <c r="E679" i="1"/>
  <c r="F679" i="1" s="1"/>
  <c r="B680" i="1"/>
  <c r="C680" i="1" s="1"/>
  <c r="E680" i="1"/>
  <c r="F680" i="1" s="1"/>
  <c r="B681" i="1"/>
  <c r="C681" i="1" s="1"/>
  <c r="E681" i="1"/>
  <c r="F681" i="1" s="1"/>
  <c r="B682" i="1"/>
  <c r="C682" i="1" s="1"/>
  <c r="E682" i="1"/>
  <c r="F682" i="1" s="1"/>
  <c r="B683" i="1"/>
  <c r="C683" i="1" s="1"/>
  <c r="E683" i="1"/>
  <c r="F683" i="1" s="1"/>
  <c r="B684" i="1"/>
  <c r="C684" i="1" s="1"/>
  <c r="E684" i="1"/>
  <c r="F684" i="1" s="1"/>
  <c r="B685" i="1"/>
  <c r="C685" i="1" s="1"/>
  <c r="E685" i="1"/>
  <c r="F685" i="1"/>
  <c r="B686" i="1"/>
  <c r="C686" i="1" s="1"/>
  <c r="E686" i="1"/>
  <c r="F686" i="1" s="1"/>
  <c r="B687" i="1"/>
  <c r="C687" i="1" s="1"/>
  <c r="E687" i="1"/>
  <c r="F687" i="1" s="1"/>
  <c r="B688" i="1"/>
  <c r="C688" i="1" s="1"/>
  <c r="E688" i="1"/>
  <c r="F688" i="1" s="1"/>
  <c r="B689" i="1"/>
  <c r="C689" i="1" s="1"/>
  <c r="E689" i="1"/>
  <c r="F689" i="1" s="1"/>
  <c r="B690" i="1"/>
  <c r="C690" i="1" s="1"/>
  <c r="E690" i="1"/>
  <c r="B691" i="1"/>
  <c r="E691" i="1"/>
  <c r="F691" i="1" s="1"/>
  <c r="B692" i="1"/>
  <c r="C692" i="1" s="1"/>
  <c r="E692" i="1"/>
  <c r="B693" i="1"/>
  <c r="E693" i="1"/>
  <c r="F693" i="1" s="1"/>
  <c r="B694" i="1"/>
  <c r="C694" i="1" s="1"/>
  <c r="E694" i="1"/>
  <c r="F694" i="1" s="1"/>
  <c r="B695" i="1"/>
  <c r="C695" i="1" s="1"/>
  <c r="E695" i="1"/>
  <c r="F695" i="1" s="1"/>
  <c r="B696" i="1"/>
  <c r="C696" i="1" s="1"/>
  <c r="E696" i="1"/>
  <c r="F696" i="1" s="1"/>
  <c r="B697" i="1"/>
  <c r="C697" i="1" s="1"/>
  <c r="E697" i="1"/>
  <c r="F697" i="1" s="1"/>
  <c r="B698" i="1"/>
  <c r="C698" i="1" s="1"/>
  <c r="E698" i="1"/>
  <c r="F698" i="1" s="1"/>
  <c r="B699" i="1"/>
  <c r="C699" i="1" s="1"/>
  <c r="E699" i="1"/>
  <c r="F699" i="1" s="1"/>
  <c r="B700" i="1"/>
  <c r="C700" i="1" s="1"/>
  <c r="E700" i="1"/>
  <c r="F700" i="1" s="1"/>
  <c r="B701" i="1"/>
  <c r="C701" i="1" s="1"/>
  <c r="E701" i="1"/>
  <c r="F701" i="1" s="1"/>
  <c r="B702" i="1"/>
  <c r="C702" i="1" s="1"/>
  <c r="E702" i="1"/>
  <c r="F702" i="1" s="1"/>
  <c r="B703" i="1"/>
  <c r="C703" i="1" s="1"/>
  <c r="E703" i="1"/>
  <c r="F703" i="1" s="1"/>
  <c r="B704" i="1"/>
  <c r="C704" i="1" s="1"/>
  <c r="E704" i="1"/>
  <c r="F704" i="1" s="1"/>
  <c r="B705" i="1"/>
  <c r="C705" i="1" s="1"/>
  <c r="E705" i="1"/>
  <c r="F705" i="1" s="1"/>
  <c r="B706" i="1"/>
  <c r="C706" i="1" s="1"/>
  <c r="E706" i="1"/>
  <c r="B707" i="1"/>
  <c r="E707" i="1"/>
  <c r="F707" i="1" s="1"/>
  <c r="B708" i="1"/>
  <c r="C708" i="1" s="1"/>
  <c r="E708" i="1"/>
  <c r="B709" i="1"/>
  <c r="E709" i="1"/>
  <c r="F709" i="1" s="1"/>
  <c r="B710" i="1"/>
  <c r="C710" i="1" s="1"/>
  <c r="E710" i="1"/>
  <c r="F710" i="1" s="1"/>
  <c r="B711" i="1"/>
  <c r="C711" i="1" s="1"/>
  <c r="E711" i="1"/>
  <c r="F711" i="1" s="1"/>
  <c r="B712" i="1"/>
  <c r="C712" i="1" s="1"/>
  <c r="E712" i="1"/>
  <c r="F712" i="1" s="1"/>
  <c r="B713" i="1"/>
  <c r="C713" i="1" s="1"/>
  <c r="E713" i="1"/>
  <c r="F713" i="1" s="1"/>
  <c r="B714" i="1"/>
  <c r="C714" i="1" s="1"/>
  <c r="E714" i="1"/>
  <c r="F714" i="1" s="1"/>
  <c r="B715" i="1"/>
  <c r="C715" i="1" s="1"/>
  <c r="E715" i="1"/>
  <c r="F715" i="1" s="1"/>
  <c r="B716" i="1"/>
  <c r="C716" i="1" s="1"/>
  <c r="E716" i="1"/>
  <c r="F716" i="1" s="1"/>
  <c r="B717" i="1"/>
  <c r="C717" i="1" s="1"/>
  <c r="E717" i="1"/>
  <c r="F717" i="1" s="1"/>
  <c r="B718" i="1"/>
  <c r="C718" i="1" s="1"/>
  <c r="E718" i="1"/>
  <c r="F718" i="1"/>
  <c r="B719" i="1"/>
  <c r="C719" i="1"/>
  <c r="E719" i="1"/>
  <c r="F719" i="1" s="1"/>
  <c r="B720" i="1"/>
  <c r="C720" i="1" s="1"/>
  <c r="E720" i="1"/>
  <c r="F720" i="1" s="1"/>
  <c r="B721" i="1"/>
  <c r="C721" i="1" s="1"/>
  <c r="E721" i="1"/>
  <c r="B722" i="1"/>
  <c r="E722" i="1"/>
  <c r="F722" i="1" s="1"/>
  <c r="B723" i="1"/>
  <c r="C723" i="1" s="1"/>
  <c r="E723" i="1"/>
  <c r="B724" i="1"/>
  <c r="E724" i="1"/>
  <c r="F724" i="1" s="1"/>
  <c r="B725" i="1"/>
  <c r="C725" i="1" s="1"/>
  <c r="E725" i="1"/>
  <c r="F725" i="1" s="1"/>
  <c r="B726" i="1"/>
  <c r="C726" i="1" s="1"/>
  <c r="E726" i="1"/>
  <c r="F726" i="1" s="1"/>
  <c r="B727" i="1"/>
  <c r="C727" i="1" s="1"/>
  <c r="E727" i="1"/>
  <c r="F727" i="1" s="1"/>
  <c r="B728" i="1"/>
  <c r="C728" i="1" s="1"/>
  <c r="E728" i="1"/>
  <c r="F728" i="1" s="1"/>
  <c r="B729" i="1"/>
  <c r="C729" i="1" s="1"/>
  <c r="E729" i="1"/>
  <c r="F729" i="1" s="1"/>
  <c r="B730" i="1"/>
  <c r="C730" i="1" s="1"/>
  <c r="E730" i="1"/>
  <c r="F730" i="1" s="1"/>
  <c r="B731" i="1"/>
  <c r="C731" i="1"/>
  <c r="E731" i="1"/>
  <c r="F731" i="1" s="1"/>
  <c r="B732" i="1"/>
  <c r="C732" i="1" s="1"/>
  <c r="E732" i="1"/>
  <c r="F732" i="1" s="1"/>
  <c r="B733" i="1"/>
  <c r="C733" i="1" s="1"/>
  <c r="E733" i="1"/>
  <c r="F733" i="1" s="1"/>
  <c r="B734" i="1"/>
  <c r="C734" i="1" s="1"/>
  <c r="E734" i="1"/>
  <c r="F734" i="1" s="1"/>
  <c r="B735" i="1"/>
  <c r="C735" i="1" s="1"/>
  <c r="E735" i="1"/>
  <c r="F735" i="1" s="1"/>
  <c r="B736" i="1"/>
  <c r="C736" i="1" s="1"/>
  <c r="E736" i="1"/>
  <c r="F736" i="1" s="1"/>
  <c r="B737" i="1"/>
  <c r="E737" i="1"/>
  <c r="B738" i="1"/>
  <c r="C738" i="1" s="1"/>
  <c r="E738" i="1"/>
  <c r="F738" i="1" s="1"/>
  <c r="B739" i="1"/>
  <c r="E739" i="1"/>
  <c r="B740" i="1"/>
  <c r="C740" i="1" s="1"/>
  <c r="E740" i="1"/>
  <c r="F740" i="1"/>
  <c r="B741" i="1"/>
  <c r="C741" i="1" s="1"/>
  <c r="E741" i="1"/>
  <c r="F741" i="1" s="1"/>
  <c r="B742" i="1"/>
  <c r="C742" i="1" s="1"/>
  <c r="E742" i="1"/>
  <c r="F742" i="1" s="1"/>
  <c r="B743" i="1"/>
  <c r="C743" i="1" s="1"/>
  <c r="E743" i="1"/>
  <c r="F743" i="1" s="1"/>
  <c r="B744" i="1"/>
  <c r="C744" i="1" s="1"/>
  <c r="E744" i="1"/>
  <c r="F744" i="1" s="1"/>
  <c r="B745" i="1"/>
  <c r="C745" i="1" s="1"/>
  <c r="E745" i="1"/>
  <c r="F745" i="1" s="1"/>
  <c r="B746" i="1"/>
  <c r="C746" i="1" s="1"/>
  <c r="E746" i="1"/>
  <c r="F746" i="1" s="1"/>
  <c r="B747" i="1"/>
  <c r="C747" i="1" s="1"/>
  <c r="E747" i="1"/>
  <c r="F747" i="1" s="1"/>
  <c r="B748" i="1"/>
  <c r="C748" i="1" s="1"/>
  <c r="E748" i="1"/>
  <c r="F748" i="1" s="1"/>
  <c r="B749" i="1"/>
  <c r="C749" i="1" s="1"/>
  <c r="E749" i="1"/>
  <c r="F749" i="1" s="1"/>
  <c r="B750" i="1"/>
  <c r="C750" i="1" s="1"/>
  <c r="E750" i="1"/>
  <c r="F750" i="1" s="1"/>
  <c r="B751" i="1"/>
  <c r="C751" i="1" s="1"/>
  <c r="E751" i="1"/>
  <c r="F751" i="1" s="1"/>
  <c r="B752" i="1"/>
  <c r="C752" i="1" s="1"/>
  <c r="E752" i="1"/>
  <c r="B753" i="1"/>
  <c r="E753" i="1"/>
  <c r="F753" i="1" s="1"/>
  <c r="B754" i="1"/>
  <c r="C754" i="1" s="1"/>
  <c r="E754" i="1"/>
  <c r="B755" i="1"/>
  <c r="E755" i="1"/>
  <c r="F755" i="1" s="1"/>
  <c r="B756" i="1"/>
  <c r="C756" i="1" s="1"/>
  <c r="E756" i="1"/>
  <c r="F756" i="1" s="1"/>
  <c r="B757" i="1"/>
  <c r="C757" i="1" s="1"/>
  <c r="E757" i="1"/>
  <c r="F757" i="1" s="1"/>
  <c r="B758" i="1"/>
  <c r="C758" i="1" s="1"/>
  <c r="E758" i="1"/>
  <c r="F758" i="1" s="1"/>
  <c r="B759" i="1"/>
  <c r="C759" i="1" s="1"/>
  <c r="E759" i="1"/>
  <c r="F759" i="1" s="1"/>
  <c r="B760" i="1"/>
  <c r="C760" i="1" s="1"/>
  <c r="E760" i="1"/>
  <c r="F760" i="1" s="1"/>
  <c r="B761" i="1"/>
  <c r="C761" i="1" s="1"/>
  <c r="E761" i="1"/>
  <c r="F761" i="1" s="1"/>
  <c r="B762" i="1"/>
  <c r="C762" i="1" s="1"/>
  <c r="E762" i="1"/>
  <c r="F762" i="1" s="1"/>
  <c r="B763" i="1"/>
  <c r="C763" i="1" s="1"/>
  <c r="E763" i="1"/>
  <c r="F763" i="1" s="1"/>
  <c r="B764" i="1"/>
  <c r="C764" i="1" s="1"/>
  <c r="E764" i="1"/>
  <c r="F764" i="1" s="1"/>
  <c r="B765" i="1"/>
  <c r="C765" i="1" s="1"/>
  <c r="E765" i="1"/>
  <c r="F765" i="1" s="1"/>
  <c r="B766" i="1"/>
  <c r="C766" i="1" s="1"/>
  <c r="E766" i="1"/>
  <c r="F766" i="1" s="1"/>
  <c r="B767" i="1"/>
  <c r="C767" i="1" s="1"/>
  <c r="E767" i="1"/>
  <c r="F767" i="1" s="1"/>
  <c r="B768" i="1"/>
  <c r="C768" i="1" s="1"/>
  <c r="E768" i="1"/>
  <c r="B769" i="1"/>
  <c r="E769" i="1"/>
  <c r="F769" i="1" s="1"/>
  <c r="B770" i="1"/>
  <c r="C770" i="1" s="1"/>
  <c r="E770" i="1"/>
  <c r="B771" i="1"/>
  <c r="E771" i="1"/>
  <c r="F771" i="1" s="1"/>
  <c r="B772" i="1"/>
  <c r="C772" i="1" s="1"/>
  <c r="E772" i="1"/>
  <c r="F772" i="1" s="1"/>
  <c r="B773" i="1"/>
  <c r="C773" i="1" s="1"/>
  <c r="E773" i="1"/>
  <c r="F773" i="1" s="1"/>
  <c r="B774" i="1"/>
  <c r="C774" i="1"/>
  <c r="E774" i="1"/>
  <c r="F774" i="1" s="1"/>
  <c r="B775" i="1"/>
  <c r="C775" i="1" s="1"/>
  <c r="E775" i="1"/>
  <c r="F775" i="1" s="1"/>
  <c r="B776" i="1"/>
  <c r="C776" i="1" s="1"/>
  <c r="E776" i="1"/>
  <c r="B777" i="1"/>
  <c r="C777" i="1" s="1"/>
  <c r="E777" i="1"/>
  <c r="F777" i="1" s="1"/>
  <c r="B778" i="1"/>
  <c r="C778" i="1" s="1"/>
  <c r="E778" i="1"/>
  <c r="F778" i="1" s="1"/>
  <c r="B779" i="1"/>
  <c r="C779" i="1" s="1"/>
  <c r="E779" i="1"/>
  <c r="F779" i="1" s="1"/>
  <c r="B780" i="1"/>
  <c r="C780" i="1" s="1"/>
  <c r="E780" i="1"/>
  <c r="F780" i="1" s="1"/>
  <c r="B781" i="1"/>
  <c r="C781" i="1" s="1"/>
  <c r="E781" i="1"/>
  <c r="F781" i="1" s="1"/>
  <c r="B782" i="1"/>
  <c r="C782" i="1" s="1"/>
  <c r="E782" i="1"/>
  <c r="F782" i="1" s="1"/>
  <c r="B783" i="1"/>
  <c r="C783" i="1" s="1"/>
  <c r="E783" i="1"/>
  <c r="F783" i="1" s="1"/>
  <c r="B784" i="1"/>
  <c r="E784" i="1"/>
  <c r="B785" i="1"/>
  <c r="C785" i="1" s="1"/>
  <c r="E785" i="1"/>
  <c r="F785" i="1" s="1"/>
  <c r="B786" i="1"/>
  <c r="E786" i="1"/>
  <c r="B787" i="1"/>
  <c r="C787" i="1" s="1"/>
  <c r="E787" i="1"/>
  <c r="F787" i="1" s="1"/>
  <c r="B788" i="1"/>
  <c r="C788" i="1" s="1"/>
  <c r="E788" i="1"/>
  <c r="F788" i="1" s="1"/>
  <c r="B789" i="1"/>
  <c r="C789" i="1" s="1"/>
  <c r="E789" i="1"/>
  <c r="F789" i="1" s="1"/>
  <c r="B790" i="1"/>
  <c r="C790" i="1" s="1"/>
  <c r="E790" i="1"/>
  <c r="F790" i="1" s="1"/>
  <c r="B791" i="1"/>
  <c r="C791" i="1" s="1"/>
  <c r="E791" i="1"/>
  <c r="F791" i="1"/>
  <c r="B792" i="1"/>
  <c r="C792" i="1" s="1"/>
  <c r="E792" i="1"/>
  <c r="F792" i="1" s="1"/>
  <c r="B793" i="1"/>
  <c r="C793" i="1" s="1"/>
  <c r="E793" i="1"/>
  <c r="F793" i="1" s="1"/>
  <c r="B794" i="1"/>
  <c r="C794" i="1" s="1"/>
  <c r="E794" i="1"/>
  <c r="F794" i="1" s="1"/>
  <c r="B795" i="1"/>
  <c r="C795" i="1" s="1"/>
  <c r="E795" i="1"/>
  <c r="F795" i="1" s="1"/>
  <c r="B796" i="1"/>
  <c r="C796" i="1" s="1"/>
  <c r="E796" i="1"/>
  <c r="F796" i="1" s="1"/>
  <c r="B797" i="1"/>
  <c r="C797" i="1" s="1"/>
  <c r="E797" i="1"/>
  <c r="F797" i="1" s="1"/>
  <c r="B798" i="1"/>
  <c r="C798" i="1" s="1"/>
  <c r="E798" i="1"/>
  <c r="B799" i="1"/>
  <c r="C799" i="1" s="1"/>
  <c r="E799" i="1"/>
  <c r="B800" i="1"/>
  <c r="C800" i="1" s="1"/>
  <c r="E800" i="1"/>
  <c r="F800" i="1" s="1"/>
  <c r="B801" i="1"/>
  <c r="C801" i="1" s="1"/>
  <c r="E801" i="1"/>
  <c r="B802" i="1"/>
  <c r="E802" i="1"/>
  <c r="F802" i="1" s="1"/>
  <c r="B803" i="1"/>
  <c r="C803" i="1" s="1"/>
  <c r="E803" i="1"/>
  <c r="F803" i="1" s="1"/>
  <c r="B804" i="1"/>
  <c r="C804" i="1" s="1"/>
  <c r="E804" i="1"/>
  <c r="F804" i="1" s="1"/>
  <c r="B805" i="1"/>
  <c r="C805" i="1" s="1"/>
  <c r="E805" i="1"/>
  <c r="F805" i="1" s="1"/>
  <c r="B806" i="1"/>
  <c r="C806" i="1" s="1"/>
  <c r="E806" i="1"/>
  <c r="F806" i="1" s="1"/>
  <c r="B807" i="1"/>
  <c r="C807" i="1" s="1"/>
  <c r="E807" i="1"/>
  <c r="F807" i="1" s="1"/>
  <c r="B808" i="1"/>
  <c r="C808" i="1" s="1"/>
  <c r="E808" i="1"/>
  <c r="F808" i="1" s="1"/>
  <c r="B809" i="1"/>
  <c r="C809" i="1" s="1"/>
  <c r="E809" i="1"/>
  <c r="F809" i="1" s="1"/>
  <c r="B810" i="1"/>
  <c r="C810" i="1" s="1"/>
  <c r="E810" i="1"/>
  <c r="F810" i="1" s="1"/>
  <c r="B811" i="1"/>
  <c r="C811" i="1" s="1"/>
  <c r="E811" i="1"/>
  <c r="F811" i="1" s="1"/>
  <c r="B812" i="1"/>
  <c r="C812" i="1" s="1"/>
  <c r="E812" i="1"/>
  <c r="F812" i="1" s="1"/>
  <c r="B813" i="1"/>
  <c r="C813" i="1" s="1"/>
  <c r="E813" i="1"/>
  <c r="F813" i="1" s="1"/>
  <c r="B814" i="1"/>
  <c r="C814" i="1" s="1"/>
  <c r="E814" i="1"/>
  <c r="F814" i="1" s="1"/>
  <c r="B815" i="1"/>
  <c r="E815" i="1"/>
  <c r="B816" i="1"/>
  <c r="C816" i="1" s="1"/>
  <c r="E816" i="1"/>
  <c r="F816" i="1" s="1"/>
  <c r="B817" i="1"/>
  <c r="C817" i="1" s="1"/>
  <c r="E817" i="1"/>
  <c r="B818" i="1"/>
  <c r="E818" i="1"/>
  <c r="F818" i="1" s="1"/>
  <c r="B819" i="1"/>
  <c r="C819" i="1" s="1"/>
  <c r="E819" i="1"/>
  <c r="F819" i="1" s="1"/>
  <c r="B820" i="1"/>
  <c r="C820" i="1" s="1"/>
  <c r="E820" i="1"/>
  <c r="F820" i="1" s="1"/>
  <c r="B821" i="1"/>
  <c r="C821" i="1" s="1"/>
  <c r="E821" i="1"/>
  <c r="F821" i="1" s="1"/>
  <c r="B822" i="1"/>
  <c r="C822" i="1" s="1"/>
  <c r="E822" i="1"/>
  <c r="F822" i="1" s="1"/>
  <c r="B823" i="1"/>
  <c r="C823" i="1" s="1"/>
  <c r="E823" i="1"/>
  <c r="F823" i="1" s="1"/>
  <c r="B824" i="1"/>
  <c r="C824" i="1" s="1"/>
  <c r="E824" i="1"/>
  <c r="F824" i="1" s="1"/>
  <c r="B825" i="1"/>
  <c r="C825" i="1" s="1"/>
  <c r="E825" i="1"/>
  <c r="F825" i="1" s="1"/>
  <c r="B826" i="1"/>
  <c r="C826" i="1" s="1"/>
  <c r="E826" i="1"/>
  <c r="F826" i="1" s="1"/>
  <c r="B827" i="1"/>
  <c r="C827" i="1" s="1"/>
  <c r="E827" i="1"/>
  <c r="F827" i="1" s="1"/>
  <c r="B828" i="1"/>
  <c r="C828" i="1" s="1"/>
  <c r="E828" i="1"/>
  <c r="F828" i="1" s="1"/>
  <c r="B829" i="1"/>
  <c r="C829" i="1" s="1"/>
  <c r="E829" i="1"/>
  <c r="F829" i="1" s="1"/>
  <c r="B830" i="1"/>
  <c r="C830" i="1" s="1"/>
  <c r="E830" i="1"/>
  <c r="F830" i="1" s="1"/>
  <c r="B831" i="1"/>
  <c r="E831" i="1"/>
  <c r="B832" i="1"/>
  <c r="C832" i="1" s="1"/>
  <c r="E832" i="1"/>
  <c r="F832" i="1" s="1"/>
  <c r="B833" i="1"/>
  <c r="C833" i="1" s="1"/>
  <c r="E833" i="1"/>
  <c r="B834" i="1"/>
  <c r="E834" i="1"/>
  <c r="F834" i="1" s="1"/>
  <c r="B835" i="1"/>
  <c r="C835" i="1" s="1"/>
  <c r="E835" i="1"/>
  <c r="F835" i="1" s="1"/>
  <c r="B836" i="1"/>
  <c r="C836" i="1" s="1"/>
  <c r="E836" i="1"/>
  <c r="F836" i="1" s="1"/>
  <c r="B837" i="1"/>
  <c r="C837" i="1" s="1"/>
  <c r="E837" i="1"/>
  <c r="F837" i="1" s="1"/>
  <c r="B838" i="1"/>
  <c r="C838" i="1" s="1"/>
  <c r="E838" i="1"/>
  <c r="F838" i="1" s="1"/>
  <c r="B839" i="1"/>
  <c r="C839" i="1" s="1"/>
  <c r="E839" i="1"/>
  <c r="F839" i="1" s="1"/>
  <c r="B840" i="1"/>
  <c r="C840" i="1" s="1"/>
  <c r="E840" i="1"/>
  <c r="F840" i="1" s="1"/>
  <c r="B841" i="1"/>
  <c r="C841" i="1" s="1"/>
  <c r="E841" i="1"/>
  <c r="F841" i="1" s="1"/>
  <c r="B842" i="1"/>
  <c r="C842" i="1" s="1"/>
  <c r="E842" i="1"/>
  <c r="F842" i="1" s="1"/>
  <c r="B843" i="1"/>
  <c r="C843" i="1"/>
  <c r="E843" i="1"/>
  <c r="F843" i="1"/>
  <c r="B844" i="1"/>
  <c r="C844" i="1" s="1"/>
  <c r="E844" i="1"/>
  <c r="F844" i="1" s="1"/>
  <c r="B845" i="1"/>
  <c r="C845" i="1" s="1"/>
  <c r="E845" i="1"/>
  <c r="F845" i="1" s="1"/>
  <c r="B846" i="1"/>
  <c r="E846" i="1"/>
  <c r="B847" i="1"/>
  <c r="C847" i="1" s="1"/>
  <c r="E847" i="1"/>
  <c r="F847" i="1" s="1"/>
  <c r="B848" i="1"/>
  <c r="C848" i="1" s="1"/>
  <c r="E848" i="1"/>
  <c r="B849" i="1"/>
  <c r="E849" i="1"/>
  <c r="F849" i="1" s="1"/>
  <c r="B850" i="1"/>
  <c r="C850" i="1" s="1"/>
  <c r="E850" i="1"/>
  <c r="F850" i="1" s="1"/>
  <c r="B851" i="1"/>
  <c r="C851" i="1" s="1"/>
  <c r="E851" i="1"/>
  <c r="F851" i="1" s="1"/>
  <c r="B852" i="1"/>
  <c r="C852" i="1" s="1"/>
  <c r="E852" i="1"/>
  <c r="F852" i="1" s="1"/>
  <c r="B853" i="1"/>
  <c r="C853" i="1"/>
  <c r="E853" i="1"/>
  <c r="F853" i="1" s="1"/>
  <c r="B854" i="1"/>
  <c r="C854" i="1" s="1"/>
  <c r="E854" i="1"/>
  <c r="F854" i="1" s="1"/>
  <c r="B855" i="1"/>
  <c r="C855" i="1" s="1"/>
  <c r="E855" i="1"/>
  <c r="F855" i="1" s="1"/>
  <c r="B856" i="1"/>
  <c r="C856" i="1" s="1"/>
  <c r="E856" i="1"/>
  <c r="F856" i="1" s="1"/>
  <c r="B857" i="1"/>
  <c r="C857" i="1" s="1"/>
  <c r="E857" i="1"/>
  <c r="F857" i="1" s="1"/>
  <c r="B858" i="1"/>
  <c r="C858" i="1" s="1"/>
  <c r="E858" i="1"/>
  <c r="F858" i="1" s="1"/>
  <c r="B859" i="1"/>
  <c r="C859" i="1" s="1"/>
  <c r="E859" i="1"/>
  <c r="F859" i="1" s="1"/>
  <c r="B860" i="1"/>
  <c r="C860" i="1" s="1"/>
  <c r="E860" i="1"/>
  <c r="F860" i="1" s="1"/>
  <c r="B861" i="1"/>
  <c r="C861" i="1" s="1"/>
  <c r="E861" i="1"/>
  <c r="B862" i="1"/>
  <c r="E862" i="1"/>
  <c r="F862" i="1" s="1"/>
  <c r="B863" i="1"/>
  <c r="C863" i="1" s="1"/>
  <c r="E863" i="1"/>
  <c r="F863" i="1" s="1"/>
  <c r="B864" i="1"/>
  <c r="E864" i="1"/>
  <c r="B865" i="1"/>
  <c r="C865" i="1" s="1"/>
  <c r="E865" i="1"/>
  <c r="F865" i="1" s="1"/>
  <c r="B866" i="1"/>
  <c r="C866" i="1" s="1"/>
  <c r="E866" i="1"/>
  <c r="F866" i="1" s="1"/>
  <c r="B867" i="1"/>
  <c r="C867" i="1" s="1"/>
  <c r="E867" i="1"/>
  <c r="F867" i="1" s="1"/>
  <c r="B868" i="1"/>
  <c r="C868" i="1" s="1"/>
  <c r="E868" i="1"/>
  <c r="F868" i="1" s="1"/>
  <c r="B869" i="1"/>
  <c r="C869" i="1" s="1"/>
  <c r="E869" i="1"/>
  <c r="F869" i="1" s="1"/>
  <c r="B870" i="1"/>
  <c r="C870" i="1" s="1"/>
  <c r="E870" i="1"/>
  <c r="F870" i="1" s="1"/>
  <c r="B871" i="1"/>
  <c r="C871" i="1" s="1"/>
  <c r="E871" i="1"/>
  <c r="F871" i="1" s="1"/>
  <c r="B872" i="1"/>
  <c r="C872" i="1" s="1"/>
  <c r="E872" i="1"/>
  <c r="F872" i="1" s="1"/>
  <c r="B873" i="1"/>
  <c r="C873" i="1" s="1"/>
  <c r="E873" i="1"/>
  <c r="F873" i="1" s="1"/>
  <c r="B874" i="1"/>
  <c r="C874" i="1" s="1"/>
  <c r="E874" i="1"/>
  <c r="F874" i="1" s="1"/>
  <c r="B875" i="1"/>
  <c r="C875" i="1" s="1"/>
  <c r="E875" i="1"/>
  <c r="F875" i="1" s="1"/>
  <c r="B876" i="1"/>
  <c r="C876" i="1" s="1"/>
  <c r="E876" i="1"/>
  <c r="F876" i="1" s="1"/>
  <c r="B877" i="1"/>
  <c r="C877" i="1" s="1"/>
  <c r="E877" i="1"/>
  <c r="B878" i="1"/>
  <c r="E878" i="1"/>
  <c r="F878" i="1" s="1"/>
  <c r="B879" i="1"/>
  <c r="C879" i="1" s="1"/>
  <c r="E879" i="1"/>
  <c r="F879" i="1" s="1"/>
  <c r="B880" i="1"/>
  <c r="E880" i="1"/>
  <c r="B881" i="1"/>
  <c r="C881" i="1" s="1"/>
  <c r="E881" i="1"/>
  <c r="F881" i="1" s="1"/>
  <c r="B882" i="1"/>
  <c r="C882" i="1" s="1"/>
  <c r="E882" i="1"/>
  <c r="F882" i="1" s="1"/>
  <c r="B883" i="1"/>
  <c r="C883" i="1" s="1"/>
  <c r="E883" i="1"/>
  <c r="F883" i="1" s="1"/>
  <c r="B884" i="1"/>
  <c r="C884" i="1" s="1"/>
  <c r="E884" i="1"/>
  <c r="F884" i="1" s="1"/>
  <c r="B885" i="1"/>
  <c r="C885" i="1" s="1"/>
  <c r="E885" i="1"/>
  <c r="F885" i="1" s="1"/>
  <c r="B886" i="1"/>
  <c r="C886" i="1" s="1"/>
  <c r="E886" i="1"/>
  <c r="F886" i="1" s="1"/>
  <c r="B887" i="1"/>
  <c r="C887" i="1" s="1"/>
  <c r="E887" i="1"/>
  <c r="F887" i="1" s="1"/>
  <c r="B888" i="1"/>
  <c r="C888" i="1" s="1"/>
  <c r="E888" i="1"/>
  <c r="F888" i="1" s="1"/>
  <c r="B889" i="1"/>
  <c r="C889" i="1"/>
  <c r="E889" i="1"/>
  <c r="F889" i="1"/>
  <c r="B890" i="1"/>
  <c r="C890" i="1" s="1"/>
  <c r="E890" i="1"/>
  <c r="F890" i="1"/>
  <c r="B891" i="1"/>
  <c r="C891" i="1" s="1"/>
  <c r="E891" i="1"/>
  <c r="F891" i="1" s="1"/>
  <c r="B892" i="1"/>
  <c r="E892" i="1"/>
  <c r="F892" i="1"/>
  <c r="B893" i="1"/>
  <c r="C893" i="1" s="1"/>
  <c r="E893" i="1"/>
  <c r="F893" i="1" s="1"/>
  <c r="B894" i="1"/>
  <c r="E894" i="1"/>
  <c r="B895" i="1"/>
  <c r="C895" i="1" s="1"/>
  <c r="E895" i="1"/>
  <c r="F895" i="1" s="1"/>
  <c r="B896" i="1"/>
  <c r="C896" i="1" s="1"/>
  <c r="E896" i="1"/>
  <c r="F896" i="1"/>
  <c r="B897" i="1"/>
  <c r="C897" i="1" s="1"/>
  <c r="E897" i="1"/>
  <c r="F897" i="1" s="1"/>
  <c r="B898" i="1"/>
  <c r="C898" i="1" s="1"/>
  <c r="E898" i="1"/>
  <c r="F898" i="1" s="1"/>
  <c r="B899" i="1"/>
  <c r="C899" i="1" s="1"/>
  <c r="E899" i="1"/>
  <c r="F899" i="1" s="1"/>
  <c r="B900" i="1"/>
  <c r="C900" i="1"/>
  <c r="E900" i="1"/>
  <c r="F900" i="1" s="1"/>
  <c r="B901" i="1"/>
  <c r="C901" i="1" s="1"/>
  <c r="E901" i="1"/>
  <c r="F901" i="1" s="1"/>
  <c r="B902" i="1"/>
  <c r="C902" i="1"/>
  <c r="E902" i="1"/>
  <c r="F902" i="1" s="1"/>
  <c r="B903" i="1"/>
  <c r="C903" i="1"/>
  <c r="E903" i="1"/>
  <c r="F903" i="1" s="1"/>
  <c r="B904" i="1"/>
  <c r="C904" i="1" s="1"/>
  <c r="E904" i="1"/>
  <c r="B905" i="1"/>
  <c r="C905" i="1" s="1"/>
  <c r="E905" i="1"/>
  <c r="B906" i="1"/>
  <c r="C906" i="1" s="1"/>
  <c r="E906" i="1"/>
  <c r="F906" i="1" s="1"/>
  <c r="B907" i="1"/>
  <c r="C907" i="1"/>
  <c r="E907" i="1"/>
  <c r="B908" i="1"/>
  <c r="E908" i="1"/>
  <c r="F908" i="1" s="1"/>
  <c r="B909" i="1"/>
  <c r="C909" i="1" s="1"/>
  <c r="E909" i="1"/>
  <c r="F909" i="1" s="1"/>
  <c r="B910" i="1"/>
  <c r="C910" i="1"/>
  <c r="E910" i="1"/>
  <c r="F910" i="1" s="1"/>
  <c r="B911" i="1"/>
  <c r="C911" i="1" s="1"/>
  <c r="E911" i="1"/>
  <c r="F911" i="1"/>
  <c r="B912" i="1"/>
  <c r="C912" i="1"/>
  <c r="E912" i="1"/>
  <c r="F912" i="1" s="1"/>
  <c r="B913" i="1"/>
  <c r="C913" i="1" s="1"/>
  <c r="E913" i="1"/>
  <c r="F913" i="1" s="1"/>
  <c r="B914" i="1"/>
  <c r="C914" i="1" s="1"/>
  <c r="E914" i="1"/>
  <c r="F914" i="1" s="1"/>
  <c r="B915" i="1"/>
  <c r="C915" i="1" s="1"/>
  <c r="E915" i="1"/>
  <c r="F915" i="1" s="1"/>
  <c r="B916" i="1"/>
  <c r="C916" i="1" s="1"/>
  <c r="E916" i="1"/>
  <c r="F916" i="1" s="1"/>
  <c r="B917" i="1"/>
  <c r="C917" i="1"/>
  <c r="E917" i="1"/>
  <c r="F917" i="1" s="1"/>
  <c r="B918" i="1"/>
  <c r="C918" i="1" s="1"/>
  <c r="E918" i="1"/>
  <c r="B919" i="1"/>
  <c r="E919" i="1"/>
  <c r="F919" i="1" s="1"/>
  <c r="B920" i="1"/>
  <c r="C920" i="1" s="1"/>
  <c r="E920" i="1"/>
  <c r="F920" i="1" s="1"/>
  <c r="B921" i="1"/>
  <c r="C921" i="1" s="1"/>
  <c r="E921" i="1"/>
  <c r="B922" i="1"/>
  <c r="E922" i="1"/>
  <c r="F922" i="1" s="1"/>
  <c r="B923" i="1"/>
  <c r="C923" i="1"/>
  <c r="E923" i="1"/>
  <c r="F923" i="1" s="1"/>
  <c r="B924" i="1"/>
  <c r="C924" i="1"/>
  <c r="E924" i="1"/>
  <c r="F924" i="1" s="1"/>
  <c r="B925" i="1"/>
  <c r="C925" i="1" s="1"/>
  <c r="E925" i="1"/>
  <c r="F925" i="1"/>
  <c r="B926" i="1"/>
  <c r="C926" i="1" s="1"/>
  <c r="E926" i="1"/>
  <c r="F926" i="1" s="1"/>
  <c r="B927" i="1"/>
  <c r="C927" i="1" s="1"/>
  <c r="E927" i="1"/>
  <c r="F927" i="1" s="1"/>
  <c r="B928" i="1"/>
  <c r="C928" i="1"/>
  <c r="E928" i="1"/>
  <c r="F928" i="1" s="1"/>
  <c r="B929" i="1"/>
  <c r="C929" i="1" s="1"/>
  <c r="E929" i="1"/>
  <c r="F929" i="1" s="1"/>
  <c r="B930" i="1"/>
  <c r="C930" i="1" s="1"/>
  <c r="E930" i="1"/>
  <c r="F930" i="1" s="1"/>
  <c r="B931" i="1"/>
  <c r="C931" i="1" s="1"/>
  <c r="E931" i="1"/>
  <c r="F931" i="1" s="1"/>
  <c r="B932" i="1"/>
  <c r="C932" i="1" s="1"/>
  <c r="E932" i="1"/>
  <c r="B933" i="1"/>
  <c r="E933" i="1"/>
  <c r="F933" i="1" s="1"/>
  <c r="B934" i="1"/>
  <c r="E934" i="1"/>
  <c r="F934" i="1"/>
  <c r="B935" i="1"/>
  <c r="E935" i="1"/>
  <c r="B936" i="1"/>
  <c r="C936" i="1" s="1"/>
  <c r="E936" i="1"/>
  <c r="F936" i="1" s="1"/>
  <c r="B937" i="1"/>
  <c r="C937" i="1"/>
  <c r="E937" i="1"/>
  <c r="F937" i="1" s="1"/>
  <c r="B938" i="1"/>
  <c r="C938" i="1"/>
  <c r="E938" i="1"/>
  <c r="F938" i="1"/>
  <c r="B939" i="1"/>
  <c r="C939" i="1" s="1"/>
  <c r="E939" i="1"/>
  <c r="F939" i="1" s="1"/>
  <c r="B940" i="1"/>
  <c r="C940" i="1" s="1"/>
  <c r="E940" i="1"/>
  <c r="F940" i="1" s="1"/>
  <c r="B941" i="1"/>
  <c r="C941" i="1" s="1"/>
  <c r="E941" i="1"/>
  <c r="F941" i="1" s="1"/>
  <c r="B942" i="1"/>
  <c r="C942" i="1" s="1"/>
  <c r="E942" i="1"/>
  <c r="F942" i="1" s="1"/>
  <c r="B943" i="1"/>
  <c r="C943" i="1" s="1"/>
  <c r="E943" i="1"/>
  <c r="F943" i="1"/>
  <c r="B944" i="1"/>
  <c r="C944" i="1" s="1"/>
  <c r="E944" i="1"/>
  <c r="F944" i="1"/>
  <c r="B945" i="1"/>
  <c r="E945" i="1"/>
  <c r="B946" i="1"/>
  <c r="C946" i="1" s="1"/>
  <c r="E946" i="1"/>
  <c r="F946" i="1" s="1"/>
  <c r="B947" i="1"/>
  <c r="C947" i="1" s="1"/>
  <c r="E947" i="1"/>
  <c r="F947" i="1" s="1"/>
  <c r="B948" i="1"/>
  <c r="E948" i="1"/>
  <c r="B949" i="1"/>
  <c r="C949" i="1" s="1"/>
  <c r="E949" i="1"/>
  <c r="F949" i="1" s="1"/>
  <c r="B950" i="1"/>
  <c r="C950" i="1" s="1"/>
  <c r="E950" i="1"/>
  <c r="F950" i="1" s="1"/>
  <c r="B951" i="1"/>
  <c r="C951" i="1" s="1"/>
  <c r="E951" i="1"/>
  <c r="F951" i="1" s="1"/>
  <c r="B952" i="1"/>
  <c r="C952" i="1"/>
  <c r="E952" i="1"/>
  <c r="F952" i="1"/>
  <c r="B953" i="1"/>
  <c r="C953" i="1" s="1"/>
  <c r="E953" i="1"/>
  <c r="F953" i="1"/>
  <c r="B954" i="1"/>
  <c r="C954" i="1" s="1"/>
  <c r="E954" i="1"/>
  <c r="F954" i="1" s="1"/>
  <c r="B955" i="1"/>
  <c r="C955" i="1" s="1"/>
  <c r="E955" i="1"/>
  <c r="F955" i="1" s="1"/>
  <c r="B956" i="1"/>
  <c r="C956" i="1" s="1"/>
  <c r="E956" i="1"/>
  <c r="F956" i="1" s="1"/>
  <c r="B957" i="1"/>
  <c r="C957" i="1" s="1"/>
  <c r="E957" i="1"/>
  <c r="F957" i="1" s="1"/>
  <c r="B958" i="1"/>
  <c r="C958" i="1" s="1"/>
  <c r="E958" i="1"/>
  <c r="B959" i="1"/>
  <c r="C959" i="1" s="1"/>
  <c r="E959" i="1"/>
  <c r="B960" i="1"/>
  <c r="C960" i="1" s="1"/>
  <c r="E960" i="1"/>
  <c r="F960" i="1" s="1"/>
  <c r="B961" i="1"/>
  <c r="C961" i="1" s="1"/>
  <c r="E961" i="1"/>
  <c r="F961" i="1" s="1"/>
  <c r="B962" i="1"/>
  <c r="E962" i="1"/>
  <c r="B963" i="1"/>
  <c r="E963" i="1"/>
  <c r="F963" i="1" s="1"/>
  <c r="B964" i="1"/>
  <c r="C964" i="1" s="1"/>
  <c r="E964" i="1"/>
  <c r="F964" i="1" s="1"/>
  <c r="B965" i="1"/>
  <c r="C965" i="1"/>
  <c r="E965" i="1"/>
  <c r="F965" i="1" s="1"/>
  <c r="B966" i="1"/>
  <c r="C966" i="1"/>
  <c r="E966" i="1"/>
  <c r="F966" i="1"/>
  <c r="B967" i="1"/>
  <c r="C967" i="1" s="1"/>
  <c r="E967" i="1"/>
  <c r="F967" i="1" s="1"/>
  <c r="B968" i="1"/>
  <c r="C968" i="1" s="1"/>
  <c r="E968" i="1"/>
  <c r="F968" i="1" s="1"/>
  <c r="B969" i="1"/>
  <c r="C969" i="1" s="1"/>
  <c r="E969" i="1"/>
  <c r="F969" i="1" s="1"/>
  <c r="B970" i="1"/>
  <c r="C970" i="1"/>
  <c r="E970" i="1"/>
  <c r="F970" i="1"/>
  <c r="B971" i="1"/>
  <c r="C971" i="1" s="1"/>
  <c r="E971" i="1"/>
  <c r="F971" i="1" s="1"/>
  <c r="B972" i="1"/>
  <c r="E972" i="1"/>
  <c r="B973" i="1"/>
  <c r="C973" i="1"/>
  <c r="E973" i="1"/>
  <c r="F973" i="1" s="1"/>
  <c r="B974" i="1"/>
  <c r="C974" i="1" s="1"/>
  <c r="E974" i="1"/>
  <c r="B975" i="1"/>
  <c r="E975" i="1"/>
  <c r="B976" i="1"/>
  <c r="C976" i="1" s="1"/>
  <c r="E976" i="1"/>
  <c r="F976" i="1" s="1"/>
  <c r="B977" i="1"/>
  <c r="E977" i="1"/>
  <c r="F977" i="1"/>
  <c r="B978" i="1"/>
  <c r="C978" i="1" s="1"/>
  <c r="E978" i="1"/>
  <c r="F978" i="1" s="1"/>
  <c r="B979" i="1"/>
  <c r="C979" i="1" s="1"/>
  <c r="E979" i="1"/>
  <c r="F979" i="1"/>
  <c r="B980" i="1"/>
  <c r="C980" i="1"/>
  <c r="E980" i="1"/>
  <c r="F980" i="1" s="1"/>
  <c r="B981" i="1"/>
  <c r="C981" i="1" s="1"/>
  <c r="E981" i="1"/>
  <c r="F981" i="1" s="1"/>
  <c r="B982" i="1"/>
  <c r="C982" i="1" s="1"/>
  <c r="E982" i="1"/>
  <c r="F982" i="1" s="1"/>
  <c r="B983" i="1"/>
  <c r="C983" i="1" s="1"/>
  <c r="E983" i="1"/>
  <c r="F983" i="1"/>
  <c r="B984" i="1"/>
  <c r="E984" i="1"/>
  <c r="B985" i="1"/>
  <c r="C985" i="1" s="1"/>
  <c r="E985" i="1"/>
  <c r="F985" i="1" s="1"/>
  <c r="B986" i="1"/>
  <c r="C986" i="1" s="1"/>
  <c r="E986" i="1"/>
  <c r="F986" i="1" s="1"/>
  <c r="B987" i="1"/>
  <c r="C987" i="1" s="1"/>
  <c r="E987" i="1"/>
  <c r="B988" i="1"/>
  <c r="E988" i="1"/>
  <c r="F988" i="1" s="1"/>
  <c r="B989" i="1"/>
  <c r="C989" i="1" s="1"/>
  <c r="E989" i="1"/>
  <c r="B990" i="1"/>
  <c r="E990" i="1"/>
  <c r="F990" i="1" s="1"/>
  <c r="B991" i="1"/>
  <c r="C991" i="1" s="1"/>
  <c r="E991" i="1"/>
  <c r="F991" i="1"/>
  <c r="B992" i="1"/>
  <c r="C992" i="1" s="1"/>
  <c r="E992" i="1"/>
  <c r="F992" i="1" s="1"/>
  <c r="B993" i="1"/>
  <c r="C993" i="1"/>
  <c r="E993" i="1"/>
  <c r="F993" i="1"/>
  <c r="B994" i="1"/>
  <c r="C994" i="1" s="1"/>
  <c r="E994" i="1"/>
  <c r="F994" i="1" s="1"/>
  <c r="B995" i="1"/>
  <c r="C995" i="1" s="1"/>
  <c r="E995" i="1"/>
  <c r="F995" i="1" s="1"/>
  <c r="B996" i="1"/>
  <c r="C996" i="1"/>
  <c r="E996" i="1"/>
  <c r="F996" i="1" s="1"/>
  <c r="B997" i="1"/>
  <c r="E997" i="1"/>
  <c r="B998" i="1"/>
  <c r="C998" i="1" s="1"/>
  <c r="E998" i="1"/>
  <c r="F998" i="1" s="1"/>
  <c r="B999" i="1"/>
  <c r="C999" i="1" s="1"/>
  <c r="E999" i="1"/>
  <c r="B1000" i="1"/>
  <c r="C1000" i="1" s="1"/>
  <c r="E1000" i="1"/>
  <c r="B1001" i="1"/>
  <c r="E1001" i="1"/>
  <c r="F1001" i="1" s="1"/>
  <c r="B1002" i="1"/>
  <c r="C1002" i="1"/>
  <c r="E1002" i="1"/>
  <c r="B1003" i="1"/>
  <c r="E1003" i="1"/>
  <c r="F1003" i="1"/>
  <c r="B1004" i="1"/>
  <c r="C1004" i="1"/>
  <c r="E1004" i="1"/>
  <c r="F1004" i="1" s="1"/>
  <c r="B1005" i="1"/>
  <c r="C1005" i="1" s="1"/>
  <c r="E1005" i="1"/>
  <c r="F1005" i="1" s="1"/>
  <c r="B1006" i="1"/>
  <c r="C1006" i="1"/>
  <c r="E1006" i="1"/>
  <c r="F1006" i="1" s="1"/>
  <c r="B1007" i="1"/>
  <c r="C1007" i="1" s="1"/>
  <c r="E1007" i="1"/>
  <c r="F1007" i="1"/>
  <c r="B1008" i="1"/>
  <c r="C1008" i="1" s="1"/>
  <c r="E1008" i="1"/>
  <c r="F1008" i="1" s="1"/>
  <c r="B1009" i="1"/>
  <c r="C1009" i="1" s="1"/>
  <c r="E1009" i="1"/>
  <c r="F1009" i="1" s="1"/>
  <c r="B1010" i="1"/>
  <c r="E1010" i="1"/>
  <c r="F1010" i="1"/>
  <c r="B1011" i="1"/>
  <c r="C1011" i="1" s="1"/>
  <c r="E1011" i="1"/>
  <c r="F1011" i="1" s="1"/>
  <c r="B1012" i="1"/>
  <c r="C1012" i="1"/>
  <c r="E1012" i="1"/>
  <c r="B1013" i="1"/>
  <c r="E1013" i="1"/>
  <c r="F1013" i="1"/>
  <c r="B1014" i="1"/>
  <c r="C1014" i="1" s="1"/>
  <c r="E1014" i="1"/>
  <c r="F1014" i="1" s="1"/>
  <c r="B1015" i="1"/>
  <c r="E1015" i="1"/>
  <c r="B1016" i="1"/>
  <c r="C1016" i="1" s="1"/>
  <c r="E1016" i="1"/>
  <c r="F1016" i="1"/>
  <c r="B1017" i="1"/>
  <c r="C1017" i="1" s="1"/>
  <c r="E1017" i="1"/>
  <c r="F1017" i="1" s="1"/>
  <c r="B1018" i="1"/>
  <c r="C1018" i="1" s="1"/>
  <c r="E1018" i="1"/>
  <c r="F1018" i="1"/>
  <c r="B1019" i="1"/>
  <c r="C1019" i="1" s="1"/>
  <c r="E1019" i="1"/>
  <c r="F1019" i="1" s="1"/>
  <c r="B1020" i="1"/>
  <c r="C1020" i="1" s="1"/>
  <c r="E1020" i="1"/>
  <c r="F1020" i="1" s="1"/>
  <c r="B1021" i="1"/>
  <c r="C1021" i="1" s="1"/>
  <c r="E1021" i="1"/>
  <c r="F1021" i="1" s="1"/>
  <c r="B1022" i="1"/>
  <c r="C1022" i="1" s="1"/>
  <c r="E1022" i="1"/>
  <c r="F1022" i="1"/>
  <c r="B1023" i="1"/>
  <c r="E1023" i="1"/>
  <c r="B1024" i="1"/>
  <c r="C1024" i="1"/>
  <c r="E1024" i="1"/>
  <c r="B1025" i="1"/>
  <c r="C1025" i="1"/>
  <c r="E1025" i="1"/>
  <c r="B1026" i="1"/>
  <c r="C1026" i="1" s="1"/>
  <c r="E1026" i="1"/>
  <c r="F1026" i="1" s="1"/>
  <c r="B1027" i="1"/>
  <c r="C1027" i="1"/>
  <c r="E1027" i="1"/>
  <c r="F1027" i="1" s="1"/>
  <c r="B1028" i="1"/>
  <c r="E1028" i="1"/>
  <c r="B1029" i="1"/>
  <c r="C1029" i="1" s="1"/>
  <c r="E1029" i="1"/>
  <c r="F1029" i="1"/>
  <c r="B1030" i="1"/>
  <c r="C1030" i="1" s="1"/>
  <c r="E1030" i="1"/>
  <c r="F1030" i="1" s="1"/>
  <c r="B1031" i="1"/>
  <c r="C1031" i="1" s="1"/>
  <c r="E1031" i="1"/>
  <c r="F1031" i="1" s="1"/>
  <c r="B1032" i="1"/>
  <c r="C1032" i="1"/>
  <c r="E1032" i="1"/>
  <c r="F1032" i="1" s="1"/>
  <c r="B1033" i="1"/>
  <c r="C1033" i="1" s="1"/>
  <c r="E1033" i="1"/>
  <c r="F1033" i="1" s="1"/>
  <c r="B1034" i="1"/>
  <c r="C1034" i="1" s="1"/>
  <c r="E1034" i="1"/>
  <c r="F1034" i="1" s="1"/>
  <c r="B1035" i="1"/>
  <c r="C1035" i="1" s="1"/>
  <c r="E1035" i="1"/>
  <c r="F1035" i="1" s="1"/>
  <c r="B1036" i="1"/>
  <c r="C1036" i="1" s="1"/>
  <c r="E1036" i="1"/>
  <c r="F1036" i="1" s="1"/>
  <c r="B1037" i="1"/>
  <c r="C1037" i="1" s="1"/>
  <c r="E1037" i="1"/>
  <c r="F1037" i="1"/>
  <c r="B1038" i="1"/>
  <c r="C1038" i="1" s="1"/>
  <c r="E1038" i="1"/>
  <c r="B1039" i="1"/>
  <c r="E1039" i="1"/>
  <c r="F1039" i="1"/>
  <c r="B1040" i="1"/>
  <c r="C1040" i="1" s="1"/>
  <c r="E1040" i="1"/>
  <c r="F1040" i="1" s="1"/>
  <c r="B1041" i="1"/>
  <c r="C1041" i="1" s="1"/>
  <c r="E1041" i="1"/>
  <c r="B1042" i="1"/>
  <c r="E1042" i="1"/>
  <c r="F1042" i="1" s="1"/>
  <c r="B1043" i="1"/>
  <c r="C1043" i="1" s="1"/>
  <c r="E1043" i="1"/>
  <c r="F1043" i="1" s="1"/>
  <c r="B1044" i="1"/>
  <c r="C1044" i="1" s="1"/>
  <c r="E1044" i="1"/>
  <c r="F1044" i="1" s="1"/>
  <c r="B1045" i="1"/>
  <c r="C1045" i="1" s="1"/>
  <c r="E1045" i="1"/>
  <c r="F1045" i="1" s="1"/>
  <c r="B1046" i="1"/>
  <c r="C1046" i="1"/>
  <c r="E1046" i="1"/>
  <c r="F1046" i="1" s="1"/>
  <c r="B1047" i="1"/>
  <c r="C1047" i="1" s="1"/>
  <c r="E1047" i="1"/>
  <c r="F1047" i="1" s="1"/>
  <c r="B1048" i="1"/>
  <c r="C1048" i="1"/>
  <c r="E1048" i="1"/>
  <c r="F1048" i="1" s="1"/>
  <c r="B1049" i="1"/>
  <c r="E1049" i="1"/>
  <c r="B1050" i="1"/>
  <c r="C1050" i="1" s="1"/>
  <c r="E1050" i="1"/>
  <c r="F1050" i="1" s="1"/>
  <c r="B1051" i="1"/>
  <c r="C1051" i="1"/>
  <c r="E1051" i="1"/>
  <c r="F1051" i="1" s="1"/>
  <c r="B1052" i="1"/>
  <c r="C1052" i="1" s="1"/>
  <c r="E1052" i="1"/>
  <c r="B1053" i="1"/>
  <c r="E1053" i="1"/>
  <c r="F1053" i="1" s="1"/>
  <c r="B1054" i="1"/>
  <c r="C1054" i="1" s="1"/>
  <c r="E1054" i="1"/>
  <c r="F1054" i="1" s="1"/>
  <c r="B1055" i="1"/>
  <c r="C1056" i="1" s="1"/>
  <c r="C1055" i="1"/>
  <c r="E1055" i="1"/>
  <c r="B1056" i="1"/>
  <c r="E1056" i="1"/>
  <c r="F1056" i="1" s="1"/>
  <c r="B1057" i="1"/>
  <c r="C1057" i="1" s="1"/>
  <c r="E1057" i="1"/>
  <c r="F1057" i="1" s="1"/>
  <c r="B1058" i="1"/>
  <c r="E1058" i="1"/>
  <c r="F1058" i="1" s="1"/>
  <c r="B1059" i="1"/>
  <c r="C1059" i="1" s="1"/>
  <c r="E1059" i="1"/>
  <c r="F1059" i="1" s="1"/>
  <c r="B1060" i="1"/>
  <c r="C1060" i="1" s="1"/>
  <c r="E1060" i="1"/>
  <c r="F1060" i="1" s="1"/>
  <c r="B1061" i="1"/>
  <c r="C1061" i="1" s="1"/>
  <c r="E1061" i="1"/>
  <c r="F1061" i="1"/>
  <c r="B1062" i="1"/>
  <c r="C1062" i="1"/>
  <c r="E1062" i="1"/>
  <c r="F1062" i="1" s="1"/>
  <c r="B1063" i="1"/>
  <c r="C1063" i="1"/>
  <c r="E1063" i="1"/>
  <c r="F1063" i="1" s="1"/>
  <c r="B1064" i="1"/>
  <c r="C1064" i="1"/>
  <c r="E1064" i="1"/>
  <c r="F1064" i="1" s="1"/>
  <c r="B1065" i="1"/>
  <c r="C1065" i="1" s="1"/>
  <c r="E1065" i="1"/>
  <c r="B1066" i="1"/>
  <c r="C1066" i="1"/>
  <c r="E1066" i="1"/>
  <c r="F1066" i="1"/>
  <c r="B1067" i="1"/>
  <c r="C1067" i="1" s="1"/>
  <c r="E1067" i="1"/>
  <c r="F1067" i="1" s="1"/>
  <c r="B1068" i="1"/>
  <c r="E1068" i="1"/>
  <c r="B1069" i="1"/>
  <c r="C1069" i="1" s="1"/>
  <c r="E1069" i="1"/>
  <c r="F1069" i="1"/>
  <c r="B1070" i="1"/>
  <c r="C1070" i="1" s="1"/>
  <c r="E1070" i="1"/>
  <c r="F1070" i="1"/>
  <c r="B1071" i="1"/>
  <c r="C1071" i="1"/>
  <c r="E1071" i="1"/>
  <c r="F1071" i="1" s="1"/>
  <c r="B1072" i="1"/>
  <c r="C1072" i="1" s="1"/>
  <c r="E1072" i="1"/>
  <c r="F1072" i="1" s="1"/>
  <c r="B1073" i="1"/>
  <c r="C1073" i="1" s="1"/>
  <c r="E1073" i="1"/>
  <c r="F1073" i="1"/>
  <c r="B1074" i="1"/>
  <c r="E1074" i="1"/>
  <c r="B1075" i="1"/>
  <c r="C1075" i="1" s="1"/>
  <c r="E1075" i="1"/>
  <c r="F1075" i="1" s="1"/>
  <c r="B1076" i="1"/>
  <c r="C1076" i="1" s="1"/>
  <c r="E1076" i="1"/>
  <c r="F1076" i="1"/>
  <c r="B1077" i="1"/>
  <c r="C1077" i="1" s="1"/>
  <c r="E1077" i="1"/>
  <c r="F1077" i="1" s="1"/>
  <c r="B1078" i="1"/>
  <c r="E1078" i="1"/>
  <c r="F1078" i="1"/>
  <c r="B1079" i="1"/>
  <c r="C1079" i="1" s="1"/>
  <c r="E1079" i="1"/>
  <c r="F1079" i="1" s="1"/>
  <c r="B1080" i="1"/>
  <c r="C1080" i="1" s="1"/>
  <c r="E1080" i="1"/>
  <c r="F1080" i="1" s="1"/>
  <c r="B1081" i="1"/>
  <c r="E1081" i="1"/>
  <c r="B1082" i="1"/>
  <c r="C1082" i="1" s="1"/>
  <c r="E1082" i="1"/>
  <c r="F1082" i="1" s="1"/>
  <c r="B1083" i="1"/>
  <c r="C1083" i="1"/>
  <c r="E1083" i="1"/>
  <c r="F1083" i="1" s="1"/>
  <c r="B1084" i="1"/>
  <c r="C1084" i="1"/>
  <c r="E1084" i="1"/>
  <c r="F1084" i="1" s="1"/>
  <c r="B1085" i="1"/>
  <c r="C1085" i="1" s="1"/>
  <c r="E1085" i="1"/>
  <c r="F1085" i="1" s="1"/>
  <c r="B1086" i="1"/>
  <c r="C1086" i="1" s="1"/>
  <c r="E1086" i="1"/>
  <c r="F1086" i="1"/>
  <c r="B1087" i="1"/>
  <c r="C1087" i="1" s="1"/>
  <c r="E1087" i="1"/>
  <c r="B1088" i="1"/>
  <c r="C1088" i="1" s="1"/>
  <c r="E1088" i="1"/>
  <c r="F1088" i="1" s="1"/>
  <c r="B1089" i="1"/>
  <c r="C1089" i="1" s="1"/>
  <c r="E1089" i="1"/>
  <c r="F1089" i="1" s="1"/>
  <c r="B1090" i="1"/>
  <c r="C1090" i="1"/>
  <c r="E1090" i="1"/>
  <c r="F1090" i="1" s="1"/>
  <c r="B1091" i="1"/>
  <c r="C1091" i="1" s="1"/>
  <c r="E1091" i="1"/>
  <c r="B1092" i="1"/>
  <c r="E1092" i="1"/>
  <c r="F1092" i="1" s="1"/>
  <c r="B1093" i="1"/>
  <c r="C1093" i="1" s="1"/>
  <c r="E1093" i="1"/>
  <c r="F1093" i="1" s="1"/>
  <c r="B1094" i="1"/>
  <c r="C1094" i="1"/>
  <c r="E1094" i="1"/>
  <c r="B1095" i="1"/>
  <c r="E1095" i="1"/>
  <c r="F1095" i="1" s="1"/>
  <c r="B1096" i="1"/>
  <c r="C1096" i="1" s="1"/>
  <c r="E1096" i="1"/>
  <c r="F1096" i="1"/>
  <c r="B1097" i="1"/>
  <c r="C1097" i="1" s="1"/>
  <c r="E1097" i="1"/>
  <c r="F1097" i="1"/>
  <c r="B1098" i="1"/>
  <c r="C1098" i="1" s="1"/>
  <c r="E1098" i="1"/>
  <c r="F1098" i="1" s="1"/>
  <c r="B1099" i="1"/>
  <c r="C1099" i="1" s="1"/>
  <c r="E1099" i="1"/>
  <c r="F1099" i="1" s="1"/>
  <c r="B1100" i="1"/>
  <c r="C1100" i="1" s="1"/>
  <c r="E1100" i="1"/>
  <c r="F1100" i="1" s="1"/>
  <c r="B1101" i="1"/>
  <c r="E1101" i="1"/>
  <c r="F1101" i="1" s="1"/>
  <c r="B1102" i="1"/>
  <c r="C1102" i="1" s="1"/>
  <c r="E1102" i="1"/>
  <c r="F1102" i="1" s="1"/>
  <c r="B1103" i="1"/>
  <c r="C1103" i="1" s="1"/>
  <c r="E1103" i="1"/>
  <c r="F1103" i="1"/>
  <c r="B1104" i="1"/>
  <c r="C1104" i="1" s="1"/>
  <c r="E1104" i="1"/>
  <c r="B1105" i="1"/>
  <c r="C1105" i="1" s="1"/>
  <c r="E1105" i="1"/>
  <c r="B1106" i="1"/>
  <c r="C1106" i="1" s="1"/>
  <c r="E1106" i="1"/>
  <c r="F1106" i="1" s="1"/>
  <c r="B1107" i="1"/>
  <c r="C1107" i="1"/>
  <c r="E1107" i="1"/>
  <c r="F1107" i="1" s="1"/>
  <c r="B1108" i="1"/>
  <c r="C1108" i="1" s="1"/>
  <c r="E1108" i="1"/>
  <c r="B1109" i="1"/>
  <c r="E1109" i="1"/>
  <c r="F1109" i="1" s="1"/>
  <c r="B1110" i="1"/>
  <c r="C1110" i="1" s="1"/>
  <c r="E1110" i="1"/>
  <c r="F1110" i="1"/>
  <c r="B1111" i="1"/>
  <c r="C1111" i="1" s="1"/>
  <c r="E1111" i="1"/>
  <c r="F1111" i="1" s="1"/>
  <c r="B1112" i="1"/>
  <c r="C1112" i="1" s="1"/>
  <c r="E1112" i="1"/>
  <c r="F1112" i="1" s="1"/>
  <c r="B1113" i="1"/>
  <c r="C1113" i="1" s="1"/>
  <c r="E1113" i="1"/>
  <c r="F1113" i="1" s="1"/>
  <c r="B1114" i="1"/>
  <c r="C1114" i="1" s="1"/>
  <c r="E1114" i="1"/>
  <c r="B1115" i="1"/>
  <c r="C1115" i="1" s="1"/>
  <c r="E1115" i="1"/>
  <c r="F1115" i="1" s="1"/>
  <c r="B1116" i="1"/>
  <c r="C1116" i="1" s="1"/>
  <c r="E1116" i="1"/>
  <c r="F1116" i="1" s="1"/>
  <c r="B1117" i="1"/>
  <c r="C1117" i="1"/>
  <c r="E1117" i="1"/>
  <c r="F1117" i="1" s="1"/>
  <c r="B1118" i="1"/>
  <c r="C1118" i="1" s="1"/>
  <c r="E1118" i="1"/>
  <c r="F1118" i="1" s="1"/>
  <c r="B1119" i="1"/>
  <c r="C1119" i="1" s="1"/>
  <c r="E1119" i="1"/>
  <c r="B1120" i="1"/>
  <c r="E1120" i="1"/>
  <c r="F1120" i="1" s="1"/>
  <c r="B1121" i="1"/>
  <c r="C1121" i="1" s="1"/>
  <c r="E1121" i="1"/>
  <c r="F1121" i="1" s="1"/>
  <c r="B1122" i="1"/>
  <c r="C1122" i="1" s="1"/>
  <c r="E1122" i="1"/>
  <c r="F1122" i="1" s="1"/>
  <c r="B1123" i="1"/>
  <c r="C1123" i="1" s="1"/>
  <c r="E1123" i="1"/>
  <c r="B1124" i="1"/>
  <c r="E1124" i="1"/>
  <c r="F1124" i="1"/>
  <c r="B1125" i="1"/>
  <c r="C1125" i="1" s="1"/>
  <c r="E1125" i="1"/>
  <c r="F1125" i="1" s="1"/>
  <c r="B1126" i="1"/>
  <c r="C1126" i="1"/>
  <c r="E1126" i="1"/>
  <c r="F1126" i="1" s="1"/>
  <c r="B1127" i="1"/>
  <c r="C1127" i="1" s="1"/>
  <c r="E1127" i="1"/>
  <c r="B1128" i="1"/>
  <c r="C1128" i="1" s="1"/>
  <c r="E1128" i="1"/>
  <c r="B1129" i="1"/>
  <c r="C1129" i="1" s="1"/>
  <c r="E1129" i="1"/>
  <c r="F1129" i="1" s="1"/>
  <c r="B1130" i="1"/>
  <c r="C1130" i="1" s="1"/>
  <c r="E1130" i="1"/>
  <c r="F1130" i="1" s="1"/>
  <c r="B1131" i="1"/>
  <c r="C1131" i="1" s="1"/>
  <c r="E1131" i="1"/>
  <c r="F1131" i="1"/>
  <c r="B1132" i="1"/>
  <c r="C1132" i="1" s="1"/>
  <c r="E1132" i="1"/>
  <c r="F1132" i="1" s="1"/>
  <c r="B1133" i="1"/>
  <c r="C1133" i="1" s="1"/>
  <c r="E1133" i="1"/>
  <c r="F1133" i="1" s="1"/>
  <c r="B1134" i="1"/>
  <c r="E1134" i="1"/>
  <c r="B1135" i="1"/>
  <c r="C1135" i="1" s="1"/>
  <c r="E1135" i="1"/>
  <c r="F1135" i="1"/>
  <c r="B1136" i="1"/>
  <c r="C1136" i="1" s="1"/>
  <c r="E1136" i="1"/>
  <c r="F1136" i="1" s="1"/>
  <c r="B1137" i="1"/>
  <c r="C1137" i="1" s="1"/>
  <c r="E1137" i="1"/>
  <c r="B1138" i="1"/>
  <c r="E1138" i="1"/>
  <c r="F1138" i="1" s="1"/>
  <c r="B1139" i="1"/>
  <c r="C1139" i="1"/>
  <c r="E1139" i="1"/>
  <c r="F1139" i="1"/>
  <c r="B1140" i="1"/>
  <c r="C1140" i="1" s="1"/>
  <c r="E1140" i="1"/>
  <c r="B1141" i="1"/>
  <c r="C1141" i="1" s="1"/>
  <c r="E1141" i="1"/>
  <c r="B1142" i="1"/>
  <c r="C1142" i="1" s="1"/>
  <c r="E1142" i="1"/>
  <c r="F1142" i="1" s="1"/>
  <c r="B1143" i="1"/>
  <c r="C1143" i="1" s="1"/>
  <c r="E1143" i="1"/>
  <c r="F1143" i="1" s="1"/>
  <c r="B1144" i="1"/>
  <c r="C1144" i="1" s="1"/>
  <c r="E1144" i="1"/>
  <c r="F1144" i="1" s="1"/>
  <c r="B1145" i="1"/>
  <c r="C1145" i="1"/>
  <c r="E1145" i="1"/>
  <c r="F1145" i="1"/>
  <c r="B1146" i="1"/>
  <c r="C1146" i="1" s="1"/>
  <c r="E1146" i="1"/>
  <c r="F1146" i="1" s="1"/>
  <c r="B1147" i="1"/>
  <c r="E1147" i="1"/>
  <c r="B1148" i="1"/>
  <c r="C1148" i="1" s="1"/>
  <c r="E1148" i="1"/>
  <c r="F1148" i="1" s="1"/>
  <c r="B1149" i="1"/>
  <c r="C1149" i="1" s="1"/>
  <c r="E1149" i="1"/>
  <c r="F1149" i="1" s="1"/>
  <c r="B1150" i="1"/>
  <c r="C1150" i="1" s="1"/>
  <c r="E1150" i="1"/>
  <c r="F1150" i="1" s="1"/>
  <c r="B1151" i="1"/>
  <c r="E1151" i="1"/>
  <c r="B1152" i="1"/>
  <c r="C1152" i="1" s="1"/>
  <c r="E1152" i="1"/>
  <c r="F1152" i="1" s="1"/>
  <c r="B1153" i="1"/>
  <c r="C1153" i="1" s="1"/>
  <c r="E1153" i="1"/>
  <c r="F1153" i="1" s="1"/>
  <c r="B1154" i="1"/>
  <c r="C1154" i="1" s="1"/>
  <c r="E1154" i="1"/>
  <c r="F1154" i="1" s="1"/>
  <c r="B1155" i="1"/>
  <c r="C1155" i="1" s="1"/>
  <c r="E1155" i="1"/>
  <c r="B1156" i="1"/>
  <c r="C1156" i="1" s="1"/>
  <c r="E1156" i="1"/>
  <c r="F1156" i="1" s="1"/>
  <c r="B1157" i="1"/>
  <c r="C1157" i="1" s="1"/>
  <c r="E1157" i="1"/>
  <c r="F1157" i="1" s="1"/>
  <c r="B1158" i="1"/>
  <c r="C1158" i="1"/>
  <c r="E1158" i="1"/>
  <c r="F1158" i="1" s="1"/>
  <c r="B1159" i="1"/>
  <c r="C1159" i="1" s="1"/>
  <c r="E1159" i="1"/>
  <c r="F1159" i="1" s="1"/>
  <c r="B1160" i="1"/>
  <c r="C1160" i="1" s="1"/>
  <c r="E1160" i="1"/>
  <c r="F1160" i="1" s="1"/>
  <c r="B1161" i="1"/>
  <c r="C1161" i="1" s="1"/>
  <c r="E1161" i="1"/>
  <c r="F1161" i="1" s="1"/>
  <c r="B1162" i="1"/>
  <c r="E1162" i="1"/>
  <c r="F1162" i="1" s="1"/>
  <c r="B1163" i="1"/>
  <c r="C1163" i="1" s="1"/>
  <c r="E1163" i="1"/>
  <c r="F1163" i="1" s="1"/>
  <c r="B1164" i="1"/>
  <c r="C1164" i="1" s="1"/>
  <c r="E1164" i="1"/>
  <c r="F1164" i="1"/>
  <c r="B1165" i="1"/>
  <c r="C1165" i="1" s="1"/>
  <c r="E1165" i="1"/>
  <c r="F1165" i="1" s="1"/>
  <c r="B1166" i="1"/>
  <c r="E1166" i="1"/>
  <c r="F1166" i="1" s="1"/>
  <c r="B1167" i="1"/>
  <c r="C1167" i="1" s="1"/>
  <c r="E1167" i="1"/>
  <c r="F1167" i="1" s="1"/>
  <c r="B1168" i="1"/>
  <c r="C1168" i="1" s="1"/>
  <c r="E1168" i="1"/>
  <c r="F1168" i="1" s="1"/>
  <c r="B1169" i="1"/>
  <c r="C1169" i="1"/>
  <c r="E1169" i="1"/>
  <c r="F1169" i="1"/>
  <c r="B1170" i="1"/>
  <c r="C1170" i="1" s="1"/>
  <c r="E1170" i="1"/>
  <c r="F1170" i="1" s="1"/>
  <c r="B1171" i="1"/>
  <c r="C1171" i="1" s="1"/>
  <c r="E1171" i="1"/>
  <c r="F1171" i="1" s="1"/>
  <c r="B1172" i="1"/>
  <c r="C1172" i="1"/>
  <c r="E1172" i="1"/>
  <c r="B1173" i="1"/>
  <c r="C1173" i="1" s="1"/>
  <c r="E1173" i="1"/>
  <c r="F1173" i="1" s="1"/>
  <c r="B1174" i="1"/>
  <c r="C1174" i="1" s="1"/>
  <c r="E1174" i="1"/>
  <c r="F1174" i="1" s="1"/>
  <c r="B1175" i="1"/>
  <c r="E1175" i="1"/>
  <c r="F1175" i="1" s="1"/>
  <c r="B1176" i="1"/>
  <c r="C1176" i="1" s="1"/>
  <c r="E1176" i="1"/>
  <c r="F1176" i="1"/>
  <c r="B1177" i="1"/>
  <c r="C1177" i="1" s="1"/>
  <c r="E1177" i="1"/>
  <c r="F1177" i="1" s="1"/>
  <c r="B1178" i="1"/>
  <c r="C1178" i="1" s="1"/>
  <c r="E1178" i="1"/>
  <c r="F1178" i="1" s="1"/>
  <c r="B1179" i="1"/>
  <c r="E1179" i="1"/>
  <c r="B1180" i="1"/>
  <c r="C1180" i="1" s="1"/>
  <c r="E1180" i="1"/>
  <c r="F1180" i="1"/>
  <c r="B1181" i="1"/>
  <c r="C1181" i="1" s="1"/>
  <c r="E1181" i="1"/>
  <c r="F1181" i="1"/>
  <c r="B1182" i="1"/>
  <c r="C1182" i="1" s="1"/>
  <c r="E1182" i="1"/>
  <c r="F1182" i="1" s="1"/>
  <c r="B1183" i="1"/>
  <c r="C1183" i="1" s="1"/>
  <c r="E1183" i="1"/>
  <c r="F1183" i="1" s="1"/>
  <c r="B1184" i="1"/>
  <c r="C1184" i="1" s="1"/>
  <c r="E1184" i="1"/>
  <c r="F1184" i="1" s="1"/>
  <c r="B1185" i="1"/>
  <c r="C1185" i="1" s="1"/>
  <c r="E1185" i="1"/>
  <c r="F1185" i="1" s="1"/>
  <c r="B1186" i="1"/>
  <c r="C1186" i="1"/>
  <c r="E1186" i="1"/>
  <c r="F1186" i="1" s="1"/>
  <c r="B1187" i="1"/>
  <c r="C1187" i="1" s="1"/>
  <c r="E1187" i="1"/>
  <c r="F1187" i="1" s="1"/>
  <c r="B1188" i="1"/>
  <c r="E1188" i="1"/>
  <c r="B1189" i="1"/>
  <c r="C1189" i="1" s="1"/>
  <c r="E1189" i="1"/>
  <c r="F1189" i="1" s="1"/>
  <c r="B1190" i="1"/>
  <c r="C1190" i="1" s="1"/>
  <c r="E1190" i="1"/>
  <c r="F1190" i="1" s="1"/>
  <c r="B1191" i="1"/>
  <c r="C1191" i="1" s="1"/>
  <c r="E1191" i="1"/>
  <c r="F1191" i="1" s="1"/>
  <c r="B1192" i="1"/>
  <c r="C1192" i="1" s="1"/>
  <c r="E1192" i="1"/>
  <c r="F1192" i="1" s="1"/>
  <c r="B1193" i="1"/>
  <c r="C1193" i="1" s="1"/>
  <c r="E1193" i="1"/>
  <c r="B1194" i="1"/>
  <c r="C1194" i="1" s="1"/>
  <c r="E1194" i="1"/>
  <c r="F1194" i="1" s="1"/>
  <c r="B1195" i="1"/>
  <c r="C1195" i="1" s="1"/>
  <c r="E1195" i="1"/>
  <c r="F1195" i="1" s="1"/>
  <c r="B1196" i="1"/>
  <c r="C1196" i="1" s="1"/>
  <c r="E1196" i="1"/>
  <c r="F1196" i="1" s="1"/>
  <c r="B1197" i="1"/>
  <c r="C1197" i="1"/>
  <c r="E1197" i="1"/>
  <c r="F1197" i="1" s="1"/>
  <c r="B1198" i="1"/>
  <c r="C1198" i="1" s="1"/>
  <c r="E1198" i="1"/>
  <c r="F1198" i="1" s="1"/>
  <c r="B1199" i="1"/>
  <c r="C1199" i="1" s="1"/>
  <c r="E1199" i="1"/>
  <c r="F1199" i="1" s="1"/>
  <c r="B1200" i="1"/>
  <c r="C1200" i="1" s="1"/>
  <c r="E1200" i="1"/>
  <c r="F1200" i="1" s="1"/>
  <c r="B1201" i="1"/>
  <c r="C1201" i="1" s="1"/>
  <c r="E1201" i="1"/>
  <c r="F1201" i="1" s="1"/>
  <c r="B1202" i="1"/>
  <c r="C1202" i="1" s="1"/>
  <c r="E1202" i="1"/>
  <c r="F1202" i="1" s="1"/>
  <c r="B1203" i="1"/>
  <c r="E1203" i="1"/>
  <c r="B1204" i="1"/>
  <c r="C1204" i="1" s="1"/>
  <c r="E1204" i="1"/>
  <c r="F1204" i="1"/>
  <c r="B1205" i="1"/>
  <c r="C1205" i="1" s="1"/>
  <c r="E1205" i="1"/>
  <c r="F1205" i="1" s="1"/>
  <c r="B1206" i="1"/>
  <c r="C1206" i="1"/>
  <c r="E1206" i="1"/>
  <c r="F1206" i="1" s="1"/>
  <c r="B1207" i="1"/>
  <c r="E1207" i="1"/>
  <c r="B1208" i="1"/>
  <c r="C1208" i="1" s="1"/>
  <c r="E1208" i="1"/>
  <c r="F1208" i="1" s="1"/>
  <c r="B1209" i="1"/>
  <c r="C1209" i="1" s="1"/>
  <c r="E1209" i="1"/>
  <c r="F1209" i="1" s="1"/>
  <c r="B1210" i="1"/>
  <c r="C1210" i="1" s="1"/>
  <c r="E1210" i="1"/>
  <c r="F1210" i="1" s="1"/>
  <c r="B1211" i="1"/>
  <c r="C1211" i="1" s="1"/>
  <c r="E1211" i="1"/>
  <c r="F1211" i="1" s="1"/>
  <c r="B1212" i="1"/>
  <c r="C1212" i="1" s="1"/>
  <c r="E1212" i="1"/>
  <c r="F1212" i="1"/>
  <c r="B1213" i="1"/>
  <c r="C1213" i="1" s="1"/>
  <c r="E1213" i="1"/>
  <c r="F1213" i="1" s="1"/>
  <c r="B1214" i="1"/>
  <c r="C1214" i="1" s="1"/>
  <c r="E1214" i="1"/>
  <c r="F1214" i="1" s="1"/>
  <c r="B1215" i="1"/>
  <c r="C1215" i="1" s="1"/>
  <c r="E1215" i="1"/>
  <c r="F1215" i="1" s="1"/>
  <c r="B1216" i="1"/>
  <c r="E1216" i="1"/>
  <c r="F1216" i="1" s="1"/>
  <c r="B1217" i="1"/>
  <c r="E1217" i="1"/>
  <c r="F1217" i="1" s="1"/>
  <c r="B1218" i="1"/>
  <c r="C1218" i="1" s="1"/>
  <c r="E1218" i="1"/>
  <c r="F1218" i="1" s="1"/>
  <c r="B1219" i="1"/>
  <c r="C1219" i="1" s="1"/>
  <c r="E1219" i="1"/>
  <c r="F1219" i="1" s="1"/>
  <c r="B1220" i="1"/>
  <c r="C1220" i="1"/>
  <c r="E1220" i="1"/>
  <c r="F1220" i="1"/>
  <c r="B1221" i="1"/>
  <c r="E1221" i="1"/>
  <c r="B1222" i="1"/>
  <c r="E1222" i="1"/>
  <c r="F1222" i="1"/>
  <c r="B1223" i="1"/>
  <c r="C1223" i="1" s="1"/>
  <c r="E1223" i="1"/>
  <c r="F1223" i="1" s="1"/>
  <c r="B1224" i="1"/>
  <c r="C1224" i="1" s="1"/>
  <c r="E1224" i="1"/>
  <c r="F1224" i="1" s="1"/>
  <c r="B1225" i="1"/>
  <c r="C1225" i="1" s="1"/>
  <c r="E1225" i="1"/>
  <c r="F1225" i="1" s="1"/>
  <c r="B1226" i="1"/>
  <c r="C1226" i="1"/>
  <c r="E1226" i="1"/>
  <c r="F1226" i="1"/>
  <c r="B1227" i="1"/>
  <c r="C1227" i="1" s="1"/>
  <c r="E1227" i="1"/>
  <c r="F1227" i="1"/>
  <c r="B1228" i="1"/>
  <c r="C1228" i="1" s="1"/>
  <c r="E1228" i="1"/>
  <c r="F1228" i="1" s="1"/>
  <c r="B1229" i="1"/>
  <c r="C1229" i="1" s="1"/>
  <c r="E1229" i="1"/>
  <c r="B1230" i="1"/>
  <c r="C1230" i="1" s="1"/>
  <c r="E1230" i="1"/>
  <c r="F1230" i="1"/>
  <c r="B1231" i="1"/>
  <c r="C1231" i="1" s="1"/>
  <c r="E1231" i="1"/>
  <c r="F1231" i="1" s="1"/>
  <c r="B1232" i="1"/>
  <c r="C1232" i="1"/>
  <c r="E1232" i="1"/>
  <c r="F1232" i="1" s="1"/>
  <c r="B1233" i="1"/>
  <c r="C1233" i="1" s="1"/>
  <c r="E1233" i="1"/>
  <c r="F1233" i="1" s="1"/>
  <c r="B1234" i="1"/>
  <c r="E1234" i="1"/>
  <c r="B1235" i="1"/>
  <c r="E1235" i="1"/>
  <c r="F1235" i="1"/>
  <c r="B1236" i="1"/>
  <c r="C1236" i="1" s="1"/>
  <c r="E1236" i="1"/>
  <c r="F1236" i="1"/>
  <c r="B1237" i="1"/>
  <c r="C1237" i="1" s="1"/>
  <c r="E1237" i="1"/>
  <c r="F1237" i="1" s="1"/>
  <c r="B1238" i="1"/>
  <c r="C1238" i="1" s="1"/>
  <c r="E1238" i="1"/>
  <c r="F1238" i="1" s="1"/>
  <c r="B1239" i="1"/>
  <c r="C1239" i="1" s="1"/>
  <c r="E1239" i="1"/>
  <c r="F1239" i="1" s="1"/>
  <c r="B1240" i="1"/>
  <c r="C1240" i="1" s="1"/>
  <c r="E1240" i="1"/>
  <c r="F1240" i="1"/>
  <c r="B1241" i="1"/>
  <c r="C1241" i="1" s="1"/>
  <c r="E1241" i="1"/>
  <c r="F1241" i="1"/>
  <c r="B1242" i="1"/>
  <c r="E1242" i="1"/>
  <c r="B1243" i="1"/>
  <c r="C1243" i="1" s="1"/>
  <c r="E1243" i="1"/>
  <c r="F1243" i="1" s="1"/>
  <c r="B1244" i="1"/>
  <c r="C1244" i="1" s="1"/>
  <c r="E1244" i="1"/>
  <c r="F1244" i="1"/>
  <c r="B1245" i="1"/>
  <c r="C1245" i="1" s="1"/>
  <c r="E1245" i="1"/>
  <c r="F1245" i="1" s="1"/>
  <c r="B1246" i="1"/>
  <c r="C1246" i="1" s="1"/>
  <c r="E1246" i="1"/>
  <c r="F1246" i="1"/>
  <c r="B1247" i="1"/>
  <c r="E1247" i="1"/>
  <c r="B1248" i="1"/>
  <c r="C1248" i="1"/>
  <c r="E1248" i="1"/>
  <c r="F1248" i="1" s="1"/>
  <c r="B1249" i="1"/>
  <c r="C1249" i="1" s="1"/>
  <c r="E1249" i="1"/>
  <c r="F1249" i="1" s="1"/>
  <c r="B1250" i="1"/>
  <c r="C1250" i="1" s="1"/>
  <c r="E1250" i="1"/>
  <c r="F1250" i="1" s="1"/>
  <c r="B1251" i="1"/>
  <c r="C1251" i="1" s="1"/>
  <c r="E1251" i="1"/>
  <c r="F1251" i="1" s="1"/>
  <c r="B1252" i="1"/>
  <c r="C1252" i="1" s="1"/>
  <c r="E1252" i="1"/>
  <c r="F1252" i="1"/>
  <c r="B1253" i="1"/>
  <c r="C1253" i="1" s="1"/>
  <c r="E1253" i="1"/>
  <c r="F1253" i="1" s="1"/>
  <c r="B1254" i="1"/>
  <c r="C1254" i="1"/>
  <c r="E1254" i="1"/>
  <c r="F1254" i="1" s="1"/>
  <c r="B1255" i="1"/>
  <c r="C1255" i="1" s="1"/>
  <c r="E1255" i="1"/>
  <c r="B1256" i="1"/>
  <c r="C1256" i="1" s="1"/>
  <c r="E1256" i="1"/>
  <c r="F1256" i="1" s="1"/>
  <c r="B1257" i="1"/>
  <c r="C1257" i="1"/>
  <c r="E1257" i="1"/>
  <c r="F1257" i="1" s="1"/>
  <c r="B1258" i="1"/>
  <c r="C1258" i="1" s="1"/>
  <c r="E1258" i="1"/>
  <c r="F1258" i="1" s="1"/>
  <c r="B1259" i="1"/>
  <c r="C1259" i="1" s="1"/>
  <c r="E1259" i="1"/>
  <c r="F1259" i="1" s="1"/>
  <c r="B1260" i="1"/>
  <c r="C1260" i="1" s="1"/>
  <c r="E1260" i="1"/>
  <c r="F1260" i="1" s="1"/>
  <c r="B1261" i="1"/>
  <c r="E1261" i="1"/>
  <c r="B1262" i="1"/>
  <c r="C1262" i="1" s="1"/>
  <c r="E1262" i="1"/>
  <c r="F1262" i="1"/>
  <c r="B1263" i="1"/>
  <c r="C1263" i="1"/>
  <c r="E1263" i="1"/>
  <c r="F1263" i="1"/>
  <c r="B1264" i="1"/>
  <c r="C1264" i="1" s="1"/>
  <c r="E1264" i="1"/>
  <c r="F1264" i="1" s="1"/>
  <c r="B1265" i="1"/>
  <c r="C1265" i="1" s="1"/>
  <c r="E1265" i="1"/>
  <c r="F1265" i="1" s="1"/>
  <c r="B1266" i="1"/>
  <c r="C1266" i="1" s="1"/>
  <c r="E1266" i="1"/>
  <c r="F1266" i="1" s="1"/>
  <c r="B1267" i="1"/>
  <c r="C1267" i="1" s="1"/>
  <c r="E1267" i="1"/>
  <c r="F1267" i="1" s="1"/>
  <c r="B1268" i="1"/>
  <c r="C1268" i="1" s="1"/>
  <c r="E1268" i="1"/>
  <c r="F1268" i="1" s="1"/>
  <c r="B1269" i="1"/>
  <c r="E1269" i="1"/>
  <c r="F1269" i="1" s="1"/>
  <c r="B1270" i="1"/>
  <c r="C1270" i="1" s="1"/>
  <c r="E1270" i="1"/>
  <c r="F1270" i="1" s="1"/>
  <c r="B1271" i="1"/>
  <c r="C1271" i="1" s="1"/>
  <c r="E1271" i="1"/>
  <c r="F1271" i="1" s="1"/>
  <c r="B1272" i="1"/>
  <c r="C1272" i="1"/>
  <c r="E1272" i="1"/>
  <c r="F1272" i="1" s="1"/>
  <c r="B1273" i="1"/>
  <c r="C1273" i="1" s="1"/>
  <c r="E1273" i="1"/>
  <c r="F1273" i="1" s="1"/>
  <c r="B1274" i="1"/>
  <c r="E1274" i="1"/>
  <c r="B1275" i="1"/>
  <c r="C1275" i="1" s="1"/>
  <c r="E1275" i="1"/>
  <c r="F1275" i="1" s="1"/>
  <c r="B1276" i="1"/>
  <c r="C1276" i="1" s="1"/>
  <c r="E1276" i="1"/>
  <c r="F1276" i="1" s="1"/>
  <c r="B1277" i="1"/>
  <c r="C1277" i="1" s="1"/>
  <c r="E1277" i="1"/>
  <c r="F1277" i="1" s="1"/>
  <c r="B1278" i="1"/>
  <c r="C1278" i="1" s="1"/>
  <c r="E1278" i="1"/>
  <c r="F1278" i="1" s="1"/>
  <c r="B1279" i="1"/>
  <c r="C1279" i="1"/>
  <c r="E1279" i="1"/>
  <c r="F1279" i="1" s="1"/>
  <c r="B1280" i="1"/>
  <c r="C1280" i="1" s="1"/>
  <c r="E1280" i="1"/>
  <c r="F1280" i="1" s="1"/>
  <c r="B1281" i="1"/>
  <c r="C1281" i="1" s="1"/>
  <c r="E1281" i="1"/>
  <c r="F1281" i="1" s="1"/>
  <c r="B1282" i="1"/>
  <c r="C1282" i="1" s="1"/>
  <c r="E1282" i="1"/>
  <c r="F1282" i="1" s="1"/>
  <c r="B1283" i="1"/>
  <c r="C1283" i="1" s="1"/>
  <c r="E1283" i="1"/>
  <c r="B1284" i="1"/>
  <c r="C1284" i="1" s="1"/>
  <c r="E1284" i="1"/>
  <c r="F1284" i="1" s="1"/>
  <c r="B1285" i="1"/>
  <c r="C1285" i="1" s="1"/>
  <c r="E1285" i="1"/>
  <c r="F1285" i="1" s="1"/>
  <c r="B1286" i="1"/>
  <c r="C1286" i="1" s="1"/>
  <c r="E1286" i="1"/>
  <c r="F1286" i="1" s="1"/>
  <c r="B1287" i="1"/>
  <c r="C1287" i="1" s="1"/>
  <c r="E1287" i="1"/>
  <c r="F1287" i="1" s="1"/>
  <c r="B1288" i="1"/>
  <c r="C1288" i="1" s="1"/>
  <c r="E1288" i="1"/>
  <c r="F1288" i="1" s="1"/>
  <c r="B1289" i="1"/>
  <c r="E1289" i="1"/>
  <c r="B1290" i="1"/>
  <c r="C1290" i="1" s="1"/>
  <c r="E1290" i="1"/>
  <c r="F1290" i="1" s="1"/>
  <c r="B1291" i="1"/>
  <c r="E1291" i="1"/>
  <c r="F1291" i="1" s="1"/>
  <c r="B1292" i="1"/>
  <c r="C1292" i="1" s="1"/>
  <c r="E1292" i="1"/>
  <c r="F1292" i="1" s="1"/>
  <c r="B1293" i="1"/>
  <c r="C1293" i="1" s="1"/>
  <c r="E1293" i="1"/>
  <c r="F1293" i="1" s="1"/>
  <c r="B1294" i="1"/>
  <c r="C1294" i="1" s="1"/>
  <c r="E1294" i="1"/>
  <c r="F1294" i="1" s="1"/>
  <c r="B1295" i="1"/>
  <c r="C1295" i="1" s="1"/>
  <c r="E1295" i="1"/>
  <c r="F1295" i="1" s="1"/>
  <c r="B1296" i="1"/>
  <c r="C1296" i="1" s="1"/>
  <c r="E1296" i="1"/>
  <c r="F1296" i="1" s="1"/>
  <c r="B1297" i="1"/>
  <c r="C1297" i="1" s="1"/>
  <c r="E1297" i="1"/>
  <c r="F1297" i="1" s="1"/>
  <c r="B1298" i="1"/>
  <c r="C1298" i="1" s="1"/>
  <c r="E1298" i="1"/>
  <c r="F1298" i="1" s="1"/>
  <c r="B1299" i="1"/>
  <c r="E1299" i="1"/>
  <c r="B1300" i="1"/>
  <c r="C1300" i="1" s="1"/>
  <c r="E1300" i="1"/>
  <c r="F1300" i="1" s="1"/>
  <c r="B1301" i="1"/>
  <c r="C1301" i="1" s="1"/>
  <c r="E1301" i="1"/>
  <c r="F1301" i="1" s="1"/>
  <c r="B1302" i="1"/>
  <c r="C1302" i="1" s="1"/>
  <c r="E1302" i="1"/>
  <c r="F1302" i="1" s="1"/>
  <c r="B1303" i="1"/>
  <c r="C1303" i="1" s="1"/>
  <c r="E1303" i="1"/>
  <c r="F1303" i="1" s="1"/>
  <c r="B1304" i="1"/>
  <c r="C1304" i="1" s="1"/>
  <c r="E1304" i="1"/>
  <c r="F1304" i="1" s="1"/>
  <c r="B1305" i="1"/>
  <c r="E1305" i="1"/>
  <c r="B1306" i="1"/>
  <c r="C1306" i="1" s="1"/>
  <c r="E1306" i="1"/>
  <c r="F1306" i="1" s="1"/>
  <c r="B1307" i="1"/>
  <c r="E1307" i="1"/>
  <c r="F1307" i="1" s="1"/>
  <c r="B1308" i="1"/>
  <c r="C1308" i="1" s="1"/>
  <c r="E1308" i="1"/>
  <c r="F1308" i="1" s="1"/>
  <c r="B1309" i="1"/>
  <c r="C1309" i="1" s="1"/>
  <c r="E1309" i="1"/>
  <c r="F1309" i="1" s="1"/>
  <c r="B1310" i="1"/>
  <c r="C1310" i="1" s="1"/>
  <c r="E1310" i="1"/>
  <c r="F1310" i="1" s="1"/>
  <c r="B1311" i="1"/>
  <c r="C1311" i="1" s="1"/>
  <c r="E1311" i="1"/>
  <c r="F1311" i="1" s="1"/>
  <c r="B1312" i="1"/>
  <c r="C1312" i="1" s="1"/>
  <c r="E1312" i="1"/>
  <c r="F1312" i="1"/>
  <c r="B1313" i="1"/>
  <c r="C1313" i="1" s="1"/>
  <c r="E1313" i="1"/>
  <c r="F1313" i="1" s="1"/>
  <c r="B1314" i="1"/>
  <c r="C1314" i="1" s="1"/>
  <c r="E1314" i="1"/>
  <c r="B1315" i="1"/>
  <c r="E1315" i="1"/>
  <c r="F1315" i="1" s="1"/>
  <c r="B1316" i="1"/>
  <c r="C1316" i="1" s="1"/>
  <c r="E1316" i="1"/>
  <c r="F1316" i="1" s="1"/>
  <c r="B1317" i="1"/>
  <c r="C1317" i="1" s="1"/>
  <c r="E1317" i="1"/>
  <c r="F1317" i="1" s="1"/>
  <c r="B1318" i="1"/>
  <c r="C1318" i="1" s="1"/>
  <c r="E1318" i="1"/>
  <c r="F1318" i="1" s="1"/>
  <c r="B1319" i="1"/>
  <c r="C1319" i="1" s="1"/>
  <c r="E1319" i="1"/>
  <c r="F1319" i="1" s="1"/>
  <c r="B1320" i="1"/>
  <c r="C1320" i="1" s="1"/>
  <c r="E1320" i="1"/>
  <c r="B1321" i="1"/>
  <c r="E1321" i="1"/>
  <c r="F1321" i="1" s="1"/>
  <c r="B1322" i="1"/>
  <c r="C1322" i="1" s="1"/>
  <c r="E1322" i="1"/>
  <c r="B1323" i="1"/>
  <c r="C1323" i="1" s="1"/>
  <c r="E1323" i="1"/>
  <c r="F1323" i="1" s="1"/>
  <c r="B1324" i="1"/>
  <c r="C1324" i="1" s="1"/>
  <c r="E1324" i="1"/>
  <c r="F1324" i="1" s="1"/>
  <c r="B1325" i="1"/>
  <c r="C1325" i="1" s="1"/>
  <c r="E1325" i="1"/>
  <c r="F1325" i="1" s="1"/>
  <c r="B1326" i="1"/>
  <c r="C1326" i="1" s="1"/>
  <c r="E1326" i="1"/>
  <c r="F1326" i="1" s="1"/>
  <c r="B1327" i="1"/>
  <c r="C1327" i="1" s="1"/>
  <c r="E1327" i="1"/>
  <c r="F1327" i="1" s="1"/>
  <c r="B1328" i="1"/>
  <c r="C1328" i="1" s="1"/>
  <c r="E1328" i="1"/>
  <c r="F1328" i="1" s="1"/>
  <c r="B1329" i="1"/>
  <c r="C1329" i="1" s="1"/>
  <c r="E1329" i="1"/>
  <c r="B1330" i="1"/>
  <c r="E1330" i="1"/>
  <c r="F1330" i="1" s="1"/>
  <c r="B1331" i="1"/>
  <c r="C1331" i="1" s="1"/>
  <c r="E1331" i="1"/>
  <c r="F1331" i="1" s="1"/>
  <c r="B1332" i="1"/>
  <c r="C1332" i="1" s="1"/>
  <c r="E1332" i="1"/>
  <c r="F1332" i="1"/>
  <c r="B1333" i="1"/>
  <c r="C1333" i="1" s="1"/>
  <c r="E1333" i="1"/>
  <c r="F1333" i="1" s="1"/>
  <c r="B1334" i="1"/>
  <c r="C1334" i="1" s="1"/>
  <c r="E1334" i="1"/>
  <c r="F1334" i="1" s="1"/>
  <c r="B1335" i="1"/>
  <c r="C1335" i="1" s="1"/>
  <c r="E1335" i="1"/>
  <c r="B1336" i="1"/>
  <c r="C1336" i="1" s="1"/>
  <c r="E1336" i="1"/>
  <c r="F1336" i="1" s="1"/>
  <c r="B1337" i="1"/>
  <c r="E1337" i="1"/>
  <c r="F1337" i="1"/>
  <c r="B1338" i="1"/>
  <c r="C1338" i="1"/>
  <c r="E1338" i="1"/>
  <c r="F1338" i="1" s="1"/>
  <c r="B1339" i="1"/>
  <c r="C1339" i="1" s="1"/>
  <c r="E1339" i="1"/>
  <c r="F1339" i="1" s="1"/>
  <c r="B1340" i="1"/>
  <c r="C1340" i="1" s="1"/>
  <c r="E1340" i="1"/>
  <c r="F1340" i="1" s="1"/>
  <c r="B1341" i="1"/>
  <c r="C1341" i="1" s="1"/>
  <c r="E1341" i="1"/>
  <c r="F1341" i="1" s="1"/>
  <c r="B1342" i="1"/>
  <c r="C1342" i="1" s="1"/>
  <c r="E1342" i="1"/>
  <c r="F1342" i="1" s="1"/>
  <c r="B1343" i="1"/>
  <c r="C1343" i="1" s="1"/>
  <c r="E1343" i="1"/>
  <c r="F1343" i="1" s="1"/>
  <c r="B1344" i="1"/>
  <c r="E1344" i="1"/>
  <c r="B1345" i="1"/>
  <c r="C1345" i="1" s="1"/>
  <c r="E1345" i="1"/>
  <c r="F1345" i="1" s="1"/>
  <c r="B1346" i="1"/>
  <c r="C1346" i="1" s="1"/>
  <c r="E1346" i="1"/>
  <c r="F1346" i="1" s="1"/>
  <c r="B1347" i="1"/>
  <c r="C1347" i="1" s="1"/>
  <c r="E1347" i="1"/>
  <c r="F1347" i="1" s="1"/>
  <c r="B1348" i="1"/>
  <c r="C1348" i="1" s="1"/>
  <c r="E1348" i="1"/>
  <c r="F1348" i="1" s="1"/>
  <c r="B1349" i="1"/>
  <c r="C1349" i="1" s="1"/>
  <c r="E1349" i="1"/>
  <c r="F1349" i="1" s="1"/>
  <c r="B1350" i="1"/>
  <c r="C1350" i="1" s="1"/>
  <c r="E1350" i="1"/>
  <c r="B1351" i="1"/>
  <c r="C1351" i="1" s="1"/>
  <c r="E1351" i="1"/>
  <c r="F1351" i="1" s="1"/>
  <c r="B1352" i="1"/>
  <c r="E1352" i="1"/>
  <c r="F1352" i="1" s="1"/>
  <c r="B1353" i="1"/>
  <c r="C1353" i="1" s="1"/>
  <c r="E1353" i="1"/>
  <c r="F1353" i="1" s="1"/>
  <c r="B1354" i="1"/>
  <c r="C1354" i="1" s="1"/>
  <c r="E1354" i="1"/>
  <c r="F1354" i="1" s="1"/>
  <c r="B1355" i="1"/>
  <c r="C1355" i="1" s="1"/>
  <c r="E1355" i="1"/>
  <c r="F1355" i="1" s="1"/>
  <c r="B1356" i="1"/>
  <c r="C1356" i="1" s="1"/>
  <c r="E1356" i="1"/>
  <c r="F1356" i="1" s="1"/>
  <c r="B1357" i="1"/>
  <c r="C1357" i="1" s="1"/>
  <c r="E1357" i="1"/>
  <c r="F1357" i="1" s="1"/>
  <c r="B1358" i="1"/>
  <c r="C1358" i="1" s="1"/>
  <c r="E1358" i="1"/>
  <c r="F1358" i="1" s="1"/>
  <c r="B1359" i="1"/>
  <c r="C1359" i="1" s="1"/>
  <c r="E1359" i="1"/>
  <c r="B1360" i="1"/>
  <c r="E1360" i="1"/>
  <c r="F1360" i="1" s="1"/>
  <c r="B1361" i="1"/>
  <c r="C1361" i="1" s="1"/>
  <c r="E1361" i="1"/>
  <c r="F1361" i="1" s="1"/>
  <c r="B1362" i="1"/>
  <c r="C1362" i="1" s="1"/>
  <c r="E1362" i="1"/>
  <c r="F1362" i="1" s="1"/>
  <c r="B1363" i="1"/>
  <c r="C1363" i="1" s="1"/>
  <c r="E1363" i="1"/>
  <c r="F1363" i="1" s="1"/>
  <c r="B1364" i="1"/>
  <c r="C1364" i="1" s="1"/>
  <c r="E1364" i="1"/>
  <c r="F1364" i="1" s="1"/>
  <c r="B1365" i="1"/>
  <c r="C1365" i="1" s="1"/>
  <c r="E1365" i="1"/>
  <c r="F1365" i="1" s="1"/>
  <c r="B1366" i="1"/>
  <c r="C1366" i="1" s="1"/>
  <c r="E1366" i="1"/>
  <c r="F1366" i="1" s="1"/>
  <c r="B1367" i="1"/>
  <c r="E1367" i="1"/>
  <c r="B1368" i="1"/>
  <c r="C1368" i="1" s="1"/>
  <c r="E1368" i="1"/>
  <c r="F1368" i="1" s="1"/>
  <c r="B1369" i="1"/>
  <c r="C1369" i="1" s="1"/>
  <c r="E1369" i="1"/>
  <c r="F1369" i="1" s="1"/>
  <c r="B1370" i="1"/>
  <c r="C1370" i="1" s="1"/>
  <c r="E1370" i="1"/>
  <c r="F1370" i="1" s="1"/>
  <c r="B1371" i="1"/>
  <c r="C1371" i="1" s="1"/>
  <c r="E1371" i="1"/>
  <c r="F1371" i="1" s="1"/>
  <c r="B1372" i="1"/>
  <c r="C1372" i="1" s="1"/>
  <c r="E1372" i="1"/>
  <c r="F1372" i="1" s="1"/>
  <c r="B1373" i="1"/>
  <c r="C1373" i="1" s="1"/>
  <c r="E1373" i="1"/>
  <c r="F1373" i="1" s="1"/>
  <c r="B1374" i="1"/>
  <c r="C1374" i="1" s="1"/>
  <c r="E1374" i="1"/>
  <c r="F1374" i="1" s="1"/>
  <c r="B1375" i="1"/>
  <c r="C1375" i="1" s="1"/>
  <c r="E1375" i="1"/>
  <c r="B1376" i="1"/>
  <c r="E1376" i="1"/>
  <c r="F1376" i="1" s="1"/>
  <c r="B1377" i="1"/>
  <c r="C1377" i="1" s="1"/>
  <c r="E1377" i="1"/>
  <c r="F1377" i="1" s="1"/>
  <c r="B1378" i="1"/>
  <c r="C1378" i="1" s="1"/>
  <c r="E1378" i="1"/>
  <c r="F1378" i="1"/>
  <c r="B1379" i="1"/>
  <c r="C1379" i="1" s="1"/>
  <c r="E1379" i="1"/>
  <c r="F1379" i="1" s="1"/>
  <c r="B1380" i="1"/>
  <c r="C1380" i="1" s="1"/>
  <c r="E1380" i="1"/>
  <c r="F1380" i="1" s="1"/>
  <c r="B1381" i="1"/>
  <c r="C1381" i="1" s="1"/>
  <c r="E1381" i="1"/>
  <c r="F1381" i="1" s="1"/>
  <c r="B1382" i="1"/>
  <c r="C1382" i="1" s="1"/>
  <c r="E1382" i="1"/>
  <c r="B1383" i="1"/>
  <c r="E1383" i="1"/>
  <c r="F1383" i="1" s="1"/>
  <c r="B1384" i="1"/>
  <c r="C1384" i="1" s="1"/>
  <c r="E1384" i="1"/>
  <c r="F1384" i="1" s="1"/>
  <c r="B1385" i="1"/>
  <c r="C1385" i="1" s="1"/>
  <c r="E1385" i="1"/>
  <c r="F1385" i="1" s="1"/>
  <c r="B1386" i="1"/>
  <c r="C1386" i="1" s="1"/>
  <c r="E1386" i="1"/>
  <c r="F1386" i="1" s="1"/>
  <c r="B1387" i="1"/>
  <c r="C1387" i="1" s="1"/>
  <c r="E1387" i="1"/>
  <c r="F1387" i="1" s="1"/>
  <c r="B1388" i="1"/>
  <c r="C1388" i="1" s="1"/>
  <c r="E1388" i="1"/>
  <c r="F1388" i="1" s="1"/>
  <c r="B1389" i="1"/>
  <c r="C1389" i="1"/>
  <c r="E1389" i="1"/>
  <c r="F1389" i="1" s="1"/>
  <c r="B1390" i="1"/>
  <c r="C1390" i="1" s="1"/>
  <c r="E1390" i="1"/>
  <c r="B1391" i="1"/>
  <c r="E1391" i="1"/>
  <c r="F1391" i="1" s="1"/>
  <c r="B1392" i="1"/>
  <c r="C1392" i="1" s="1"/>
  <c r="E1392" i="1"/>
  <c r="F1392" i="1" s="1"/>
  <c r="B1393" i="1"/>
  <c r="C1393" i="1" s="1"/>
  <c r="E1393" i="1"/>
  <c r="F1393" i="1" s="1"/>
  <c r="B1394" i="1"/>
  <c r="C1394" i="1" s="1"/>
  <c r="E1394" i="1"/>
  <c r="F1394" i="1" s="1"/>
  <c r="B1395" i="1"/>
  <c r="C1395" i="1" s="1"/>
  <c r="E1395" i="1"/>
  <c r="F1395" i="1" s="1"/>
  <c r="B1396" i="1"/>
  <c r="C1396" i="1" s="1"/>
  <c r="E1396" i="1"/>
  <c r="F1396" i="1" s="1"/>
  <c r="B1397" i="1"/>
  <c r="C1397" i="1" s="1"/>
  <c r="E1397" i="1"/>
  <c r="F1397" i="1" s="1"/>
  <c r="B1398" i="1"/>
  <c r="E1398" i="1"/>
  <c r="B1399" i="1"/>
  <c r="C1399" i="1" s="1"/>
  <c r="E1399" i="1"/>
  <c r="F1399" i="1" s="1"/>
  <c r="B1400" i="1"/>
  <c r="C1400" i="1" s="1"/>
  <c r="E1400" i="1"/>
  <c r="F1400" i="1" s="1"/>
  <c r="B1401" i="1"/>
  <c r="C1401" i="1" s="1"/>
  <c r="E1401" i="1"/>
  <c r="F1401" i="1" s="1"/>
  <c r="B1402" i="1"/>
  <c r="C1402" i="1" s="1"/>
  <c r="E1402" i="1"/>
  <c r="F1402" i="1" s="1"/>
  <c r="B1403" i="1"/>
  <c r="C1403" i="1" s="1"/>
  <c r="E1403" i="1"/>
  <c r="F1403" i="1" s="1"/>
  <c r="B1404" i="1"/>
  <c r="C1404" i="1" s="1"/>
  <c r="E1404" i="1"/>
  <c r="F1404" i="1" s="1"/>
  <c r="B1405" i="1"/>
  <c r="C1405" i="1" s="1"/>
  <c r="E1405" i="1"/>
  <c r="F1405" i="1" s="1"/>
  <c r="B1406" i="1"/>
  <c r="C1406" i="1" s="1"/>
  <c r="E1406" i="1"/>
  <c r="B1407" i="1"/>
  <c r="E1407" i="1"/>
  <c r="F1407" i="1" s="1"/>
  <c r="B1408" i="1"/>
  <c r="C1408" i="1" s="1"/>
  <c r="E1408" i="1"/>
  <c r="F1408" i="1" s="1"/>
  <c r="B1409" i="1"/>
  <c r="C1409" i="1" s="1"/>
  <c r="E1409" i="1"/>
  <c r="F1409" i="1" s="1"/>
  <c r="B1410" i="1"/>
  <c r="C1410" i="1" s="1"/>
  <c r="E1410" i="1"/>
  <c r="F1410" i="1" s="1"/>
  <c r="B1411" i="1"/>
  <c r="C1411" i="1" s="1"/>
  <c r="E1411" i="1"/>
  <c r="F1411" i="1" s="1"/>
  <c r="B1412" i="1"/>
  <c r="C1412" i="1" s="1"/>
  <c r="E1412" i="1"/>
  <c r="F1412" i="1" s="1"/>
  <c r="B1413" i="1"/>
  <c r="C1413" i="1" s="1"/>
  <c r="E1413" i="1"/>
  <c r="F1413" i="1" s="1"/>
  <c r="B1414" i="1"/>
  <c r="E1414" i="1"/>
  <c r="B1415" i="1"/>
  <c r="C1415" i="1" s="1"/>
  <c r="E1415" i="1"/>
  <c r="F1415" i="1" s="1"/>
  <c r="B1416" i="1"/>
  <c r="C1416" i="1" s="1"/>
  <c r="E1416" i="1"/>
  <c r="F1416" i="1" s="1"/>
  <c r="B1417" i="1"/>
  <c r="C1417" i="1" s="1"/>
  <c r="E1417" i="1"/>
  <c r="F1417" i="1" s="1"/>
  <c r="B1418" i="1"/>
  <c r="C1418" i="1" s="1"/>
  <c r="E1418" i="1"/>
  <c r="F1418" i="1" s="1"/>
  <c r="B1419" i="1"/>
  <c r="C1419" i="1" s="1"/>
  <c r="E1419" i="1"/>
  <c r="F1419" i="1" s="1"/>
  <c r="B1420" i="1"/>
  <c r="C1420" i="1" s="1"/>
  <c r="E1420" i="1"/>
  <c r="F1420" i="1" s="1"/>
  <c r="B1421" i="1"/>
  <c r="C1421" i="1" s="1"/>
  <c r="E1421" i="1"/>
  <c r="F1421" i="1" s="1"/>
  <c r="B1422" i="1"/>
  <c r="C1422" i="1" s="1"/>
  <c r="E1422" i="1"/>
  <c r="B1423" i="1"/>
  <c r="E1423" i="1"/>
  <c r="F1423" i="1" s="1"/>
  <c r="B1424" i="1"/>
  <c r="C1424" i="1" s="1"/>
  <c r="E1424" i="1"/>
  <c r="F1424" i="1" s="1"/>
  <c r="B1425" i="1"/>
  <c r="C1425" i="1" s="1"/>
  <c r="E1425" i="1"/>
  <c r="F1425" i="1" s="1"/>
  <c r="B1426" i="1"/>
  <c r="C1426" i="1" s="1"/>
  <c r="E1426" i="1"/>
  <c r="F1426" i="1" s="1"/>
  <c r="B1427" i="1"/>
  <c r="C1427" i="1" s="1"/>
  <c r="E1427" i="1"/>
  <c r="F1427" i="1" s="1"/>
  <c r="B1428" i="1"/>
  <c r="C1428" i="1" s="1"/>
  <c r="E1428" i="1"/>
  <c r="F1428" i="1" s="1"/>
  <c r="B1429" i="1"/>
  <c r="C1429" i="1" s="1"/>
  <c r="E1429" i="1"/>
  <c r="F1429" i="1" s="1"/>
  <c r="B1430" i="1"/>
  <c r="E1430" i="1"/>
  <c r="B1431" i="1"/>
  <c r="C1431" i="1" s="1"/>
  <c r="E1431" i="1"/>
  <c r="F1431" i="1" s="1"/>
  <c r="B1432" i="1"/>
  <c r="C1432" i="1" s="1"/>
  <c r="E1432" i="1"/>
  <c r="F1432" i="1" s="1"/>
  <c r="B1433" i="1"/>
  <c r="C1433" i="1" s="1"/>
  <c r="E1433" i="1"/>
  <c r="F1433" i="1" s="1"/>
  <c r="B1434" i="1"/>
  <c r="C1434" i="1" s="1"/>
  <c r="E1434" i="1"/>
  <c r="F1434" i="1" s="1"/>
  <c r="B1435" i="1"/>
  <c r="C1435" i="1" s="1"/>
  <c r="E1435" i="1"/>
  <c r="F1435" i="1" s="1"/>
  <c r="B1436" i="1"/>
  <c r="C1436" i="1" s="1"/>
  <c r="E1436" i="1"/>
  <c r="F1436" i="1" s="1"/>
  <c r="B1437" i="1"/>
  <c r="C1437" i="1" s="1"/>
  <c r="E1437" i="1"/>
  <c r="F1437" i="1" s="1"/>
  <c r="B1438" i="1"/>
  <c r="E1438" i="1"/>
  <c r="B1439" i="1"/>
  <c r="C1439" i="1" s="1"/>
  <c r="E1439" i="1"/>
  <c r="F1439" i="1" s="1"/>
  <c r="B1440" i="1"/>
  <c r="C1440" i="1" s="1"/>
  <c r="E1440" i="1"/>
  <c r="F1440" i="1"/>
  <c r="B1441" i="1"/>
  <c r="C1441" i="1" s="1"/>
  <c r="E1441" i="1"/>
  <c r="F1441" i="1" s="1"/>
  <c r="B1442" i="1"/>
  <c r="C1442" i="1" s="1"/>
  <c r="E1442" i="1"/>
  <c r="F1442" i="1" s="1"/>
  <c r="B1443" i="1"/>
  <c r="C1443" i="1" s="1"/>
  <c r="E1443" i="1"/>
  <c r="F1443" i="1" s="1"/>
  <c r="B1444" i="1"/>
  <c r="C1444" i="1" s="1"/>
  <c r="E1444" i="1"/>
  <c r="F1444" i="1" s="1"/>
  <c r="B1445" i="1"/>
  <c r="E1445" i="1"/>
  <c r="B1446" i="1"/>
  <c r="C1446" i="1" s="1"/>
  <c r="E1446" i="1"/>
  <c r="F1446" i="1" s="1"/>
  <c r="B1447" i="1"/>
  <c r="C1447" i="1" s="1"/>
  <c r="E1447" i="1"/>
  <c r="F1447" i="1" s="1"/>
  <c r="B1448" i="1"/>
  <c r="C1448" i="1" s="1"/>
  <c r="E1448" i="1"/>
  <c r="F1448" i="1" s="1"/>
  <c r="B1449" i="1"/>
  <c r="C1449" i="1" s="1"/>
  <c r="E1449" i="1"/>
  <c r="F1449" i="1" s="1"/>
  <c r="B1450" i="1"/>
  <c r="C1450" i="1" s="1"/>
  <c r="E1450" i="1"/>
  <c r="F1450" i="1" s="1"/>
  <c r="B1451" i="1"/>
  <c r="C1451" i="1" s="1"/>
  <c r="E1451" i="1"/>
  <c r="F1451" i="1" s="1"/>
  <c r="B1452" i="1"/>
  <c r="C1452" i="1" s="1"/>
  <c r="E1452" i="1"/>
  <c r="F1452" i="1" s="1"/>
  <c r="B1453" i="1"/>
  <c r="C1453" i="1" s="1"/>
  <c r="E1453" i="1"/>
  <c r="B1454" i="1"/>
  <c r="E1454" i="1"/>
  <c r="F1454" i="1" s="1"/>
  <c r="B1455" i="1"/>
  <c r="C1455" i="1" s="1"/>
  <c r="E1455" i="1"/>
  <c r="F1455" i="1" s="1"/>
  <c r="B1456" i="1"/>
  <c r="C1456" i="1" s="1"/>
  <c r="E1456" i="1"/>
  <c r="F1456" i="1" s="1"/>
  <c r="B1457" i="1"/>
  <c r="C1457" i="1" s="1"/>
  <c r="E1457" i="1"/>
  <c r="F1457" i="1" s="1"/>
  <c r="B1458" i="1"/>
  <c r="C1458" i="1" s="1"/>
  <c r="E1458" i="1"/>
  <c r="F1458" i="1" s="1"/>
  <c r="B1459" i="1"/>
  <c r="C1459" i="1" s="1"/>
  <c r="E1459" i="1"/>
  <c r="F1459" i="1" s="1"/>
  <c r="B1460" i="1"/>
  <c r="C1460" i="1" s="1"/>
  <c r="E1460" i="1"/>
  <c r="F1460" i="1" s="1"/>
  <c r="B1461" i="1"/>
  <c r="E1461" i="1"/>
  <c r="B1462" i="1"/>
  <c r="C1462" i="1" s="1"/>
  <c r="E1462" i="1"/>
  <c r="F1462" i="1" s="1"/>
  <c r="B1463" i="1"/>
  <c r="C1463" i="1" s="1"/>
  <c r="E1463" i="1"/>
  <c r="F1463" i="1" s="1"/>
  <c r="B1464" i="1"/>
  <c r="C1464" i="1" s="1"/>
  <c r="E1464" i="1"/>
  <c r="F1464" i="1" s="1"/>
  <c r="B1465" i="1"/>
  <c r="C1465" i="1" s="1"/>
  <c r="E1465" i="1"/>
  <c r="F1465" i="1" s="1"/>
  <c r="B1466" i="1"/>
  <c r="C1466" i="1" s="1"/>
  <c r="E1466" i="1"/>
  <c r="F1466" i="1" s="1"/>
  <c r="B1467" i="1"/>
  <c r="C1467" i="1" s="1"/>
  <c r="E1467" i="1"/>
  <c r="F1467" i="1" s="1"/>
  <c r="B1468" i="1"/>
  <c r="C1468" i="1" s="1"/>
  <c r="E1468" i="1"/>
  <c r="F1468" i="1" s="1"/>
  <c r="B1469" i="1"/>
  <c r="C1469" i="1" s="1"/>
  <c r="E1469" i="1"/>
  <c r="B1470" i="1"/>
  <c r="E1470" i="1"/>
  <c r="F1470" i="1" s="1"/>
  <c r="B1471" i="1"/>
  <c r="C1471" i="1" s="1"/>
  <c r="E1471" i="1"/>
  <c r="F1471" i="1" s="1"/>
  <c r="B1472" i="1"/>
  <c r="C1472" i="1" s="1"/>
  <c r="E1472" i="1"/>
  <c r="F1472" i="1" s="1"/>
  <c r="B1473" i="1"/>
  <c r="C1473" i="1" s="1"/>
  <c r="E1473" i="1"/>
  <c r="F1473" i="1" s="1"/>
  <c r="B1474" i="1"/>
  <c r="C1474" i="1" s="1"/>
  <c r="E1474" i="1"/>
  <c r="F1474" i="1" s="1"/>
  <c r="B1475" i="1"/>
  <c r="C1475" i="1" s="1"/>
  <c r="E1475" i="1"/>
  <c r="F1475" i="1" s="1"/>
  <c r="B1476" i="1"/>
  <c r="C1476" i="1" s="1"/>
  <c r="E1476" i="1"/>
  <c r="F1476" i="1" s="1"/>
  <c r="B1477" i="1"/>
  <c r="E1477" i="1"/>
  <c r="B1478" i="1"/>
  <c r="C1478" i="1" s="1"/>
  <c r="E1478" i="1"/>
  <c r="F1478" i="1"/>
  <c r="B1479" i="1"/>
  <c r="C1479" i="1"/>
  <c r="E1479" i="1"/>
  <c r="F1479" i="1" s="1"/>
  <c r="B1480" i="1"/>
  <c r="C1480" i="1" s="1"/>
  <c r="E1480" i="1"/>
  <c r="F1480" i="1" s="1"/>
  <c r="B1481" i="1"/>
  <c r="C1481" i="1" s="1"/>
  <c r="E1481" i="1"/>
  <c r="F1481" i="1" s="1"/>
  <c r="B1482" i="1"/>
  <c r="C1482" i="1" s="1"/>
  <c r="E1482" i="1"/>
  <c r="F1482" i="1" s="1"/>
  <c r="B1483" i="1"/>
  <c r="C1483" i="1" s="1"/>
  <c r="E1483" i="1"/>
  <c r="F1483" i="1" s="1"/>
  <c r="B1484" i="1"/>
  <c r="C1484" i="1" s="1"/>
  <c r="E1484" i="1"/>
  <c r="B1485" i="1"/>
  <c r="E1485" i="1"/>
  <c r="F1485" i="1" s="1"/>
  <c r="B1486" i="1"/>
  <c r="C1486" i="1" s="1"/>
  <c r="E1486" i="1"/>
  <c r="F1486" i="1" s="1"/>
  <c r="B1487" i="1"/>
  <c r="C1487" i="1" s="1"/>
  <c r="E1487" i="1"/>
  <c r="F1487" i="1" s="1"/>
  <c r="B1488" i="1"/>
  <c r="C1488" i="1" s="1"/>
  <c r="E1488" i="1"/>
  <c r="F1488" i="1" s="1"/>
  <c r="B1489" i="1"/>
  <c r="C1489" i="1" s="1"/>
  <c r="E1489" i="1"/>
  <c r="F1489" i="1" s="1"/>
  <c r="B1490" i="1"/>
  <c r="C1490" i="1" s="1"/>
  <c r="E1490" i="1"/>
  <c r="F1490" i="1" s="1"/>
  <c r="B1491" i="1"/>
  <c r="C1491" i="1" s="1"/>
  <c r="E1491" i="1"/>
  <c r="F1491" i="1" s="1"/>
  <c r="B1492" i="1"/>
  <c r="E1492" i="1"/>
  <c r="B1493" i="1"/>
  <c r="C1493" i="1" s="1"/>
  <c r="E1493" i="1"/>
  <c r="F1493" i="1" s="1"/>
  <c r="B1494" i="1"/>
  <c r="C1494" i="1" s="1"/>
  <c r="E1494" i="1"/>
  <c r="F1494" i="1" s="1"/>
  <c r="B1495" i="1"/>
  <c r="C1495" i="1" s="1"/>
  <c r="E1495" i="1"/>
  <c r="F1495" i="1" s="1"/>
  <c r="B1496" i="1"/>
  <c r="C1496" i="1" s="1"/>
  <c r="E1496" i="1"/>
  <c r="F1496" i="1" s="1"/>
  <c r="B1497" i="1"/>
  <c r="C1497" i="1" s="1"/>
  <c r="E1497" i="1"/>
  <c r="F1497" i="1" s="1"/>
  <c r="B1498" i="1"/>
  <c r="C1498" i="1" s="1"/>
  <c r="E1498" i="1"/>
  <c r="F1498" i="1" s="1"/>
  <c r="B1499" i="1"/>
  <c r="C1499" i="1" s="1"/>
  <c r="E1499" i="1"/>
  <c r="F1499" i="1" s="1"/>
  <c r="B1500" i="1"/>
  <c r="C1500" i="1" s="1"/>
  <c r="E1500" i="1"/>
  <c r="B1501" i="1"/>
  <c r="E1501" i="1"/>
  <c r="F1501" i="1" s="1"/>
  <c r="B1502" i="1"/>
  <c r="C1502" i="1" s="1"/>
  <c r="E1502" i="1"/>
  <c r="F1502" i="1" s="1"/>
  <c r="B1503" i="1"/>
  <c r="C1503" i="1" s="1"/>
  <c r="E1503" i="1"/>
  <c r="F1503" i="1" s="1"/>
  <c r="B1504" i="1"/>
  <c r="C1504" i="1" s="1"/>
  <c r="E1504" i="1"/>
  <c r="F1504" i="1" s="1"/>
  <c r="B1505" i="1"/>
  <c r="C1505" i="1" s="1"/>
  <c r="E1505" i="1"/>
  <c r="F1505" i="1" s="1"/>
  <c r="B1506" i="1"/>
  <c r="C1506" i="1" s="1"/>
  <c r="E1506" i="1"/>
  <c r="F1506" i="1" s="1"/>
  <c r="B1507" i="1"/>
  <c r="C1507" i="1" s="1"/>
  <c r="E1507" i="1"/>
  <c r="F1507" i="1" s="1"/>
  <c r="B1508" i="1"/>
  <c r="E1508" i="1"/>
  <c r="B1509" i="1"/>
  <c r="C1509" i="1" s="1"/>
  <c r="E1509" i="1"/>
  <c r="F1509" i="1" s="1"/>
  <c r="B1510" i="1"/>
  <c r="C1510" i="1" s="1"/>
  <c r="E1510" i="1"/>
  <c r="F1510" i="1" s="1"/>
  <c r="B1511" i="1"/>
  <c r="C1511" i="1" s="1"/>
  <c r="E1511" i="1"/>
  <c r="F1511" i="1" s="1"/>
  <c r="B1512" i="1"/>
  <c r="C1512" i="1" s="1"/>
  <c r="E1512" i="1"/>
  <c r="F1512" i="1" s="1"/>
  <c r="B1513" i="1"/>
  <c r="C1513" i="1" s="1"/>
  <c r="E1513" i="1"/>
  <c r="F1513" i="1" s="1"/>
  <c r="B1514" i="1"/>
  <c r="C1514" i="1" s="1"/>
  <c r="E1514" i="1"/>
  <c r="F1514" i="1" s="1"/>
  <c r="B1515" i="1"/>
  <c r="C1515" i="1" s="1"/>
  <c r="E1515" i="1"/>
  <c r="F1515" i="1" s="1"/>
  <c r="B1516" i="1"/>
  <c r="C1516" i="1" s="1"/>
  <c r="E1516" i="1"/>
  <c r="B1517" i="1"/>
  <c r="E1517" i="1"/>
  <c r="F1517" i="1" s="1"/>
  <c r="B1518" i="1"/>
  <c r="C1518" i="1" s="1"/>
  <c r="E1518" i="1"/>
  <c r="F1518" i="1" s="1"/>
  <c r="B1519" i="1"/>
  <c r="C1519" i="1" s="1"/>
  <c r="E1519" i="1"/>
  <c r="F1519" i="1" s="1"/>
  <c r="B1520" i="1"/>
  <c r="C1520" i="1" s="1"/>
  <c r="E1520" i="1"/>
  <c r="F1520" i="1" s="1"/>
  <c r="B1521" i="1"/>
  <c r="C1521" i="1" s="1"/>
  <c r="E1521" i="1"/>
  <c r="F1521" i="1" s="1"/>
  <c r="B1522" i="1"/>
  <c r="C1522" i="1" s="1"/>
  <c r="E1522" i="1"/>
  <c r="F1522" i="1" s="1"/>
  <c r="B1523" i="1"/>
  <c r="C1523" i="1" s="1"/>
  <c r="E1523" i="1"/>
  <c r="F1523" i="1" s="1"/>
  <c r="B1524" i="1"/>
  <c r="E1524" i="1"/>
  <c r="B1525" i="1"/>
  <c r="C1525" i="1" s="1"/>
  <c r="E1525" i="1"/>
  <c r="F1525" i="1" s="1"/>
  <c r="B1526" i="1"/>
  <c r="C1526" i="1" s="1"/>
  <c r="E1526" i="1"/>
  <c r="F1526" i="1" s="1"/>
  <c r="B1527" i="1"/>
  <c r="C1527" i="1" s="1"/>
  <c r="E1527" i="1"/>
  <c r="F1527" i="1" s="1"/>
  <c r="B1528" i="1"/>
  <c r="C1528" i="1" s="1"/>
  <c r="E1528" i="1"/>
  <c r="F1528" i="1" s="1"/>
  <c r="B1529" i="1"/>
  <c r="C1529" i="1" s="1"/>
  <c r="E1529" i="1"/>
  <c r="F1529" i="1" s="1"/>
  <c r="B1530" i="1"/>
  <c r="C1530" i="1" s="1"/>
  <c r="E1530" i="1"/>
  <c r="F1530" i="1" s="1"/>
  <c r="B1531" i="1"/>
  <c r="C1531" i="1" s="1"/>
  <c r="E1531" i="1"/>
  <c r="F1531" i="1" s="1"/>
  <c r="B1532" i="1"/>
  <c r="C1532" i="1" s="1"/>
  <c r="E1532" i="1"/>
  <c r="B1533" i="1"/>
  <c r="E1533" i="1"/>
  <c r="F1533" i="1" s="1"/>
  <c r="B1534" i="1"/>
  <c r="C1534" i="1" s="1"/>
  <c r="E1534" i="1"/>
  <c r="F1534" i="1" s="1"/>
  <c r="B1535" i="1"/>
  <c r="C1535" i="1" s="1"/>
  <c r="E1535" i="1"/>
  <c r="F1535" i="1" s="1"/>
  <c r="B1536" i="1"/>
  <c r="C1536" i="1" s="1"/>
  <c r="E1536" i="1"/>
  <c r="F1536" i="1" s="1"/>
  <c r="B1537" i="1"/>
  <c r="C1537" i="1" s="1"/>
  <c r="E1537" i="1"/>
  <c r="F1537" i="1" s="1"/>
  <c r="B1538" i="1"/>
  <c r="C1538" i="1" s="1"/>
  <c r="E1538" i="1"/>
  <c r="F1538" i="1" s="1"/>
  <c r="B1539" i="1"/>
  <c r="C1539" i="1" s="1"/>
  <c r="E1539" i="1"/>
  <c r="F1539" i="1" s="1"/>
  <c r="B1540" i="1"/>
  <c r="E1540" i="1"/>
  <c r="B1541" i="1"/>
  <c r="C1541" i="1" s="1"/>
  <c r="E1541" i="1"/>
  <c r="F1541" i="1" s="1"/>
  <c r="B1542" i="1"/>
  <c r="C1542" i="1" s="1"/>
  <c r="E1542" i="1"/>
  <c r="F1542" i="1" s="1"/>
  <c r="B1543" i="1"/>
  <c r="C1543" i="1" s="1"/>
  <c r="E1543" i="1"/>
  <c r="F1543" i="1" s="1"/>
  <c r="B1544" i="1"/>
  <c r="C1544" i="1" s="1"/>
  <c r="E1544" i="1"/>
  <c r="F1544" i="1" s="1"/>
  <c r="B1545" i="1"/>
  <c r="C1545" i="1" s="1"/>
  <c r="E1545" i="1"/>
  <c r="F1545" i="1" s="1"/>
  <c r="B1546" i="1"/>
  <c r="C1546" i="1" s="1"/>
  <c r="E1546" i="1"/>
  <c r="F1546" i="1" s="1"/>
  <c r="B1547" i="1"/>
  <c r="C1547" i="1" s="1"/>
  <c r="E1547" i="1"/>
  <c r="F1547" i="1" s="1"/>
  <c r="B1548" i="1"/>
  <c r="C1548" i="1" s="1"/>
  <c r="E1548" i="1"/>
  <c r="B1549" i="1"/>
  <c r="E1549" i="1"/>
  <c r="F1549" i="1" s="1"/>
  <c r="B1550" i="1"/>
  <c r="C1550" i="1" s="1"/>
  <c r="E1550" i="1"/>
  <c r="F1550" i="1" s="1"/>
  <c r="B1551" i="1"/>
  <c r="C1551" i="1" s="1"/>
  <c r="E1551" i="1"/>
  <c r="F1551" i="1" s="1"/>
  <c r="B1552" i="1"/>
  <c r="C1552" i="1" s="1"/>
  <c r="E1552" i="1"/>
  <c r="F1552" i="1" s="1"/>
  <c r="B1553" i="1"/>
  <c r="C1553" i="1" s="1"/>
  <c r="E1553" i="1"/>
  <c r="F1553" i="1" s="1"/>
  <c r="B1554" i="1"/>
  <c r="C1554" i="1" s="1"/>
  <c r="E1554" i="1"/>
  <c r="F1554" i="1" s="1"/>
  <c r="B1555" i="1"/>
  <c r="C1555" i="1" s="1"/>
  <c r="E1555" i="1"/>
  <c r="F1555" i="1" s="1"/>
  <c r="B1556" i="1"/>
  <c r="E1556" i="1"/>
  <c r="B1557" i="1"/>
  <c r="C1557" i="1" s="1"/>
  <c r="E1557" i="1"/>
  <c r="F1557" i="1" s="1"/>
  <c r="B1558" i="1"/>
  <c r="C1558" i="1" s="1"/>
  <c r="E1558" i="1"/>
  <c r="F1558" i="1"/>
  <c r="B1559" i="1"/>
  <c r="C1559" i="1"/>
  <c r="E1559" i="1"/>
  <c r="F1559" i="1" s="1"/>
  <c r="B1560" i="1"/>
  <c r="C1560" i="1" s="1"/>
  <c r="E1560" i="1"/>
  <c r="F1560" i="1" s="1"/>
  <c r="B1561" i="1"/>
  <c r="C1561" i="1" s="1"/>
  <c r="E1561" i="1"/>
  <c r="F1561" i="1" s="1"/>
  <c r="B1562" i="1"/>
  <c r="C1562" i="1"/>
  <c r="E1562" i="1"/>
  <c r="F1562" i="1" s="1"/>
  <c r="B1563" i="1"/>
  <c r="E1563" i="1"/>
  <c r="B1564" i="1"/>
  <c r="C1564" i="1" s="1"/>
  <c r="E1564" i="1"/>
  <c r="F1564" i="1" s="1"/>
  <c r="B1565" i="1"/>
  <c r="C1565" i="1" s="1"/>
  <c r="E1565" i="1"/>
  <c r="F1565" i="1" s="1"/>
  <c r="B1566" i="1"/>
  <c r="C1566" i="1" s="1"/>
  <c r="E1566" i="1"/>
  <c r="F1566" i="1" s="1"/>
  <c r="B1567" i="1"/>
  <c r="C1567" i="1" s="1"/>
  <c r="E1567" i="1"/>
  <c r="F1567" i="1" s="1"/>
  <c r="B1568" i="1"/>
  <c r="C1568" i="1" s="1"/>
  <c r="E1568" i="1"/>
  <c r="F1568" i="1" s="1"/>
  <c r="B1569" i="1"/>
  <c r="C1569" i="1" s="1"/>
  <c r="E1569" i="1"/>
  <c r="F1569" i="1" s="1"/>
  <c r="B1570" i="1"/>
  <c r="C1570" i="1" s="1"/>
  <c r="E1570" i="1"/>
  <c r="B1571" i="1"/>
  <c r="E1571" i="1"/>
  <c r="F1571" i="1" s="1"/>
  <c r="B1572" i="1"/>
  <c r="C1572" i="1" s="1"/>
  <c r="E1572" i="1"/>
  <c r="F1572" i="1" s="1"/>
  <c r="B1573" i="1"/>
  <c r="C1573" i="1" s="1"/>
  <c r="E1573" i="1"/>
  <c r="F1573" i="1" s="1"/>
  <c r="B1574" i="1"/>
  <c r="C1574" i="1" s="1"/>
  <c r="E1574" i="1"/>
  <c r="F1574" i="1" s="1"/>
  <c r="B1575" i="1"/>
  <c r="C1575" i="1" s="1"/>
  <c r="E1575" i="1"/>
  <c r="F1575" i="1" s="1"/>
  <c r="B1576" i="1"/>
  <c r="C1576" i="1" s="1"/>
  <c r="E1576" i="1"/>
  <c r="F1576" i="1" s="1"/>
  <c r="B1577" i="1"/>
  <c r="C1577" i="1" s="1"/>
  <c r="E1577" i="1"/>
  <c r="F1577" i="1" s="1"/>
  <c r="B1578" i="1"/>
  <c r="C1578" i="1" s="1"/>
  <c r="E1578" i="1"/>
  <c r="F1578" i="1" s="1"/>
  <c r="B1579" i="1"/>
  <c r="E1579" i="1"/>
  <c r="B1580" i="1"/>
  <c r="C1580" i="1" s="1"/>
  <c r="E1580" i="1"/>
  <c r="F1580" i="1" s="1"/>
  <c r="B1581" i="1"/>
  <c r="C1581" i="1" s="1"/>
  <c r="E1581" i="1"/>
  <c r="F1581" i="1" s="1"/>
  <c r="B1582" i="1"/>
  <c r="C1582" i="1" s="1"/>
  <c r="E1582" i="1"/>
  <c r="F1582" i="1" s="1"/>
  <c r="B1583" i="1"/>
  <c r="C1583" i="1" s="1"/>
  <c r="E1583" i="1"/>
  <c r="F1583" i="1" s="1"/>
  <c r="B1584" i="1"/>
  <c r="C1584" i="1" s="1"/>
  <c r="E1584" i="1"/>
  <c r="F1584" i="1" s="1"/>
  <c r="B1585" i="1"/>
  <c r="C1585" i="1" s="1"/>
  <c r="E1585" i="1"/>
  <c r="F1585" i="1" s="1"/>
  <c r="B1586" i="1"/>
  <c r="C1586" i="1" s="1"/>
  <c r="E1586" i="1"/>
  <c r="B1587" i="1"/>
  <c r="E1587" i="1"/>
  <c r="F1587" i="1" s="1"/>
  <c r="B1588" i="1"/>
  <c r="C1588" i="1" s="1"/>
  <c r="E1588" i="1"/>
  <c r="F1588" i="1" s="1"/>
  <c r="B1589" i="1"/>
  <c r="C1589" i="1" s="1"/>
  <c r="E1589" i="1"/>
  <c r="F1589" i="1"/>
  <c r="B1590" i="1"/>
  <c r="C1590" i="1" s="1"/>
  <c r="E1590" i="1"/>
  <c r="F1590" i="1" s="1"/>
  <c r="B1591" i="1"/>
  <c r="C1591" i="1" s="1"/>
  <c r="E1591" i="1"/>
  <c r="F1591" i="1" s="1"/>
  <c r="B1592" i="1"/>
  <c r="C1592" i="1" s="1"/>
  <c r="E1592" i="1"/>
  <c r="F1592" i="1" s="1"/>
  <c r="B1593" i="1"/>
  <c r="C1593" i="1" s="1"/>
  <c r="E1593" i="1"/>
  <c r="F1593" i="1" s="1"/>
  <c r="B1594" i="1"/>
  <c r="E1594" i="1"/>
  <c r="B1595" i="1"/>
  <c r="E1595" i="1"/>
  <c r="F1595" i="1" s="1"/>
  <c r="B1596" i="1"/>
  <c r="C1596" i="1" s="1"/>
  <c r="E1596" i="1"/>
  <c r="F1596" i="1" s="1"/>
  <c r="B1597" i="1"/>
  <c r="C1597" i="1" s="1"/>
  <c r="E1597" i="1"/>
  <c r="F1597" i="1" s="1"/>
  <c r="B1598" i="1"/>
  <c r="C1598" i="1" s="1"/>
  <c r="E1598" i="1"/>
  <c r="F1598" i="1" s="1"/>
  <c r="B1599" i="1"/>
  <c r="C1599" i="1" s="1"/>
  <c r="E1599" i="1"/>
  <c r="F1599" i="1" s="1"/>
  <c r="B1600" i="1"/>
  <c r="C1600" i="1" s="1"/>
  <c r="E1600" i="1"/>
  <c r="F1600" i="1" s="1"/>
  <c r="B1601" i="1"/>
  <c r="C1601" i="1" s="1"/>
  <c r="E1601" i="1"/>
  <c r="F1601" i="1" s="1"/>
  <c r="B1602" i="1"/>
  <c r="E1602" i="1"/>
  <c r="B1603" i="1"/>
  <c r="C1603" i="1" s="1"/>
  <c r="E1603" i="1"/>
  <c r="F1603" i="1" s="1"/>
  <c r="B1604" i="1"/>
  <c r="C1604" i="1" s="1"/>
  <c r="E1604" i="1"/>
  <c r="F1604" i="1"/>
  <c r="B1605" i="1"/>
  <c r="C1605" i="1" s="1"/>
  <c r="E1605" i="1"/>
  <c r="F1605" i="1" s="1"/>
  <c r="B1606" i="1"/>
  <c r="C1606" i="1" s="1"/>
  <c r="E1606" i="1"/>
  <c r="F1606" i="1" s="1"/>
  <c r="B1607" i="1"/>
  <c r="C1607" i="1" s="1"/>
  <c r="E1607" i="1"/>
  <c r="F1607" i="1" s="1"/>
  <c r="B1608" i="1"/>
  <c r="C1608" i="1" s="1"/>
  <c r="E1608" i="1"/>
  <c r="F1608" i="1" s="1"/>
  <c r="B1609" i="1"/>
  <c r="E1609" i="1"/>
  <c r="F1609" i="1" s="1"/>
  <c r="B1610" i="1"/>
  <c r="E1610" i="1"/>
  <c r="F1610" i="1"/>
  <c r="B1611" i="1"/>
  <c r="C1611" i="1" s="1"/>
  <c r="E1611" i="1"/>
  <c r="F1611" i="1" s="1"/>
  <c r="B1612" i="1"/>
  <c r="C1612" i="1" s="1"/>
  <c r="E1612" i="1"/>
  <c r="F1612" i="1" s="1"/>
  <c r="B1613" i="1"/>
  <c r="C1613" i="1" s="1"/>
  <c r="E1613" i="1"/>
  <c r="F1613" i="1" s="1"/>
  <c r="B1614" i="1"/>
  <c r="C1614" i="1" s="1"/>
  <c r="E1614" i="1"/>
  <c r="F1614" i="1" s="1"/>
  <c r="B1615" i="1"/>
  <c r="C1615" i="1" s="1"/>
  <c r="E1615" i="1"/>
  <c r="F1615" i="1" s="1"/>
  <c r="B1616" i="1"/>
  <c r="C1616" i="1" s="1"/>
  <c r="E1616" i="1"/>
  <c r="F1616" i="1" s="1"/>
  <c r="B1617" i="1"/>
  <c r="E1617" i="1"/>
  <c r="B1618" i="1"/>
  <c r="C1618" i="1" s="1"/>
  <c r="E1618" i="1"/>
  <c r="F1618" i="1" s="1"/>
  <c r="B1619" i="1"/>
  <c r="C1619" i="1" s="1"/>
  <c r="E1619" i="1"/>
  <c r="F1619" i="1" s="1"/>
  <c r="B1620" i="1"/>
  <c r="C1620" i="1" s="1"/>
  <c r="E1620" i="1"/>
  <c r="F1620" i="1" s="1"/>
  <c r="B1621" i="1"/>
  <c r="C1621" i="1" s="1"/>
  <c r="E1621" i="1"/>
  <c r="F1621" i="1" s="1"/>
  <c r="B1622" i="1"/>
  <c r="C1622" i="1" s="1"/>
  <c r="E1622" i="1"/>
  <c r="F1622" i="1" s="1"/>
  <c r="B1623" i="1"/>
  <c r="C1623" i="1" s="1"/>
  <c r="E1623" i="1"/>
  <c r="F1623" i="1" s="1"/>
  <c r="B1624" i="1"/>
  <c r="C1624" i="1" s="1"/>
  <c r="E1624" i="1"/>
  <c r="F1624" i="1" s="1"/>
  <c r="B1625" i="1"/>
  <c r="E1625" i="1"/>
  <c r="B1626" i="1"/>
  <c r="C1626" i="1" s="1"/>
  <c r="E1626" i="1"/>
  <c r="F1626" i="1" s="1"/>
  <c r="B1627" i="1"/>
  <c r="C1627" i="1" s="1"/>
  <c r="E1627" i="1"/>
  <c r="F1627" i="1" s="1"/>
  <c r="B1628" i="1"/>
  <c r="C1628" i="1" s="1"/>
  <c r="E1628" i="1"/>
  <c r="F1628" i="1" s="1"/>
  <c r="B1629" i="1"/>
  <c r="C1629" i="1" s="1"/>
  <c r="E1629" i="1"/>
  <c r="F1629" i="1" s="1"/>
  <c r="B1630" i="1"/>
  <c r="C1630" i="1" s="1"/>
  <c r="E1630" i="1"/>
  <c r="F1630" i="1" s="1"/>
  <c r="B1631" i="1"/>
  <c r="C1631" i="1" s="1"/>
  <c r="E1631" i="1"/>
  <c r="F1631" i="1" s="1"/>
  <c r="B1632" i="1"/>
  <c r="C1632" i="1" s="1"/>
  <c r="E1632" i="1"/>
  <c r="F1632" i="1" s="1"/>
  <c r="B1633" i="1"/>
  <c r="E1633" i="1"/>
  <c r="B1634" i="1"/>
  <c r="C1634" i="1" s="1"/>
  <c r="E1634" i="1"/>
  <c r="F1634" i="1" s="1"/>
  <c r="B1635" i="1"/>
  <c r="C1635" i="1" s="1"/>
  <c r="E1635" i="1"/>
  <c r="F1635" i="1" s="1"/>
  <c r="B1636" i="1"/>
  <c r="C1636" i="1" s="1"/>
  <c r="E1636" i="1"/>
  <c r="F1636" i="1" s="1"/>
  <c r="B1637" i="1"/>
  <c r="C1637" i="1" s="1"/>
  <c r="E1637" i="1"/>
  <c r="F1637" i="1" s="1"/>
  <c r="B1638" i="1"/>
  <c r="C1638" i="1" s="1"/>
  <c r="E1638" i="1"/>
  <c r="F1638" i="1" s="1"/>
  <c r="B1639" i="1"/>
  <c r="C1639" i="1" s="1"/>
  <c r="E1639" i="1"/>
  <c r="F1639" i="1" s="1"/>
  <c r="B1640" i="1"/>
  <c r="C1640" i="1" s="1"/>
  <c r="E1640" i="1"/>
  <c r="F1640" i="1" s="1"/>
  <c r="B1641" i="1"/>
  <c r="E1641" i="1"/>
  <c r="B1642" i="1"/>
  <c r="C1642" i="1" s="1"/>
  <c r="E1642" i="1"/>
  <c r="F1642" i="1" s="1"/>
  <c r="B1643" i="1"/>
  <c r="C1643" i="1" s="1"/>
  <c r="E1643" i="1"/>
  <c r="F1643" i="1" s="1"/>
  <c r="B1644" i="1"/>
  <c r="C1644" i="1" s="1"/>
  <c r="E1644" i="1"/>
  <c r="F1644" i="1" s="1"/>
  <c r="B1645" i="1"/>
  <c r="C1645" i="1" s="1"/>
  <c r="E1645" i="1"/>
  <c r="F1645" i="1" s="1"/>
  <c r="B1646" i="1"/>
  <c r="C1646" i="1" s="1"/>
  <c r="E1646" i="1"/>
  <c r="F1646" i="1" s="1"/>
  <c r="B1647" i="1"/>
  <c r="C1647" i="1"/>
  <c r="E1647" i="1"/>
  <c r="F1647" i="1" s="1"/>
  <c r="B1648" i="1"/>
  <c r="C1648" i="1" s="1"/>
  <c r="E1648" i="1"/>
  <c r="B1649" i="1"/>
  <c r="E1649" i="1"/>
  <c r="F1649" i="1" s="1"/>
  <c r="B1650" i="1"/>
  <c r="C1650" i="1" s="1"/>
  <c r="E1650" i="1"/>
  <c r="F1650" i="1" s="1"/>
  <c r="B1651" i="1"/>
  <c r="C1651" i="1" s="1"/>
  <c r="E1651" i="1"/>
  <c r="F1651" i="1" s="1"/>
  <c r="B1652" i="1"/>
  <c r="C1652" i="1" s="1"/>
  <c r="E1652" i="1"/>
  <c r="F1652" i="1" s="1"/>
  <c r="B1653" i="1"/>
  <c r="C1653" i="1"/>
  <c r="E1653" i="1"/>
  <c r="F1653" i="1" s="1"/>
  <c r="B1654" i="1"/>
  <c r="C1654" i="1" s="1"/>
  <c r="E1654" i="1"/>
  <c r="F1654" i="1" s="1"/>
  <c r="B1655" i="1"/>
  <c r="C1655" i="1" s="1"/>
  <c r="E1655" i="1"/>
  <c r="F1655" i="1" s="1"/>
  <c r="B1656" i="1"/>
  <c r="C1656" i="1"/>
  <c r="E1656" i="1"/>
  <c r="F1656" i="1" s="1"/>
  <c r="B1657" i="1"/>
  <c r="C1657" i="1" s="1"/>
  <c r="E1657" i="1"/>
  <c r="F1657" i="1" s="1"/>
  <c r="B1658" i="1"/>
  <c r="C1658" i="1" s="1"/>
  <c r="E1658" i="1"/>
  <c r="F1658" i="1" s="1"/>
  <c r="B1659" i="1"/>
  <c r="C1659" i="1" s="1"/>
  <c r="E1659" i="1"/>
  <c r="F1659" i="1" s="1"/>
  <c r="B1660" i="1"/>
  <c r="C1660" i="1" s="1"/>
  <c r="E1660" i="1"/>
  <c r="F1660" i="1" s="1"/>
  <c r="B1661" i="1"/>
  <c r="C1661" i="1" s="1"/>
  <c r="E1661" i="1"/>
  <c r="F1661" i="1" s="1"/>
  <c r="B1662" i="1"/>
  <c r="C1662" i="1" s="1"/>
  <c r="E1662" i="1"/>
  <c r="F1662" i="1" s="1"/>
  <c r="B1663" i="1"/>
  <c r="C1663" i="1" s="1"/>
  <c r="E1663" i="1"/>
  <c r="B1664" i="1"/>
  <c r="E1664" i="1"/>
  <c r="F1664" i="1" s="1"/>
  <c r="B1665" i="1"/>
  <c r="C1665" i="1" s="1"/>
  <c r="E1665" i="1"/>
  <c r="F1665" i="1" s="1"/>
  <c r="B1666" i="1"/>
  <c r="C1666" i="1" s="1"/>
  <c r="E1666" i="1"/>
  <c r="F1666" i="1" s="1"/>
  <c r="B1667" i="1"/>
  <c r="C1667" i="1" s="1"/>
  <c r="E1667" i="1"/>
  <c r="F1667" i="1" s="1"/>
  <c r="B1668" i="1"/>
  <c r="C1668" i="1" s="1"/>
  <c r="E1668" i="1"/>
  <c r="F1668" i="1" s="1"/>
  <c r="B1669" i="1"/>
  <c r="C1669" i="1" s="1"/>
  <c r="E1669" i="1"/>
  <c r="F1669" i="1" s="1"/>
  <c r="B1670" i="1"/>
  <c r="C1670" i="1" s="1"/>
  <c r="E1670" i="1"/>
  <c r="F1670" i="1" s="1"/>
  <c r="B1671" i="1"/>
  <c r="E1671" i="1"/>
  <c r="B1672" i="1"/>
  <c r="C1672" i="1" s="1"/>
  <c r="E1672" i="1"/>
  <c r="F1672" i="1" s="1"/>
  <c r="B1673" i="1"/>
  <c r="C1673" i="1" s="1"/>
  <c r="E1673" i="1"/>
  <c r="F1673" i="1" s="1"/>
  <c r="B1674" i="1"/>
  <c r="C1674" i="1" s="1"/>
  <c r="E1674" i="1"/>
  <c r="F1674" i="1" s="1"/>
  <c r="B1675" i="1"/>
  <c r="C1675" i="1" s="1"/>
  <c r="E1675" i="1"/>
  <c r="F1675" i="1" s="1"/>
  <c r="B1676" i="1"/>
  <c r="C1676" i="1" s="1"/>
  <c r="E1676" i="1"/>
  <c r="F1676" i="1" s="1"/>
  <c r="B1677" i="1"/>
  <c r="C1677" i="1" s="1"/>
  <c r="E1677" i="1"/>
  <c r="F1677" i="1" s="1"/>
  <c r="B1678" i="1"/>
  <c r="C1678" i="1" s="1"/>
  <c r="E1678" i="1"/>
  <c r="F1678" i="1" s="1"/>
  <c r="B1679" i="1"/>
  <c r="C1679" i="1" s="1"/>
  <c r="E1679" i="1"/>
  <c r="B1680" i="1"/>
  <c r="E1680" i="1"/>
  <c r="F1680" i="1" s="1"/>
  <c r="B1681" i="1"/>
  <c r="C1681" i="1" s="1"/>
  <c r="E1681" i="1"/>
  <c r="F1681" i="1" s="1"/>
  <c r="B1682" i="1"/>
  <c r="C1682" i="1" s="1"/>
  <c r="E1682" i="1"/>
  <c r="F1682" i="1" s="1"/>
  <c r="B1683" i="1"/>
  <c r="C1683" i="1" s="1"/>
  <c r="E1683" i="1"/>
  <c r="F1683" i="1" s="1"/>
  <c r="B1684" i="1"/>
  <c r="C1684" i="1" s="1"/>
  <c r="E1684" i="1"/>
  <c r="F1684" i="1" s="1"/>
  <c r="B1685" i="1"/>
  <c r="C1685" i="1" s="1"/>
  <c r="E1685" i="1"/>
  <c r="F1685" i="1" s="1"/>
  <c r="B1686" i="1"/>
  <c r="C1686" i="1" s="1"/>
  <c r="E1686" i="1"/>
  <c r="F1686" i="1" s="1"/>
  <c r="B1687" i="1"/>
  <c r="E1687" i="1"/>
  <c r="B1688" i="1"/>
  <c r="C1688" i="1" s="1"/>
  <c r="E1688" i="1"/>
  <c r="F1688" i="1" s="1"/>
  <c r="B1689" i="1"/>
  <c r="C1689" i="1" s="1"/>
  <c r="E1689" i="1"/>
  <c r="F1689" i="1" s="1"/>
  <c r="B1690" i="1"/>
  <c r="C1690" i="1" s="1"/>
  <c r="E1690" i="1"/>
  <c r="F1690" i="1" s="1"/>
  <c r="B1691" i="1"/>
  <c r="C1691" i="1" s="1"/>
  <c r="E1691" i="1"/>
  <c r="F1691" i="1" s="1"/>
  <c r="B1692" i="1"/>
  <c r="C1692" i="1" s="1"/>
  <c r="E1692" i="1"/>
  <c r="F1692" i="1" s="1"/>
  <c r="B1693" i="1"/>
  <c r="C1693" i="1" s="1"/>
  <c r="E1693" i="1"/>
  <c r="F1693" i="1" s="1"/>
  <c r="B1694" i="1"/>
  <c r="C1694" i="1" s="1"/>
  <c r="E1694" i="1"/>
  <c r="F1694" i="1" s="1"/>
  <c r="B1695" i="1"/>
  <c r="C1695" i="1" s="1"/>
  <c r="E1695" i="1"/>
  <c r="B1696" i="1"/>
  <c r="E1696" i="1"/>
  <c r="F1696" i="1" s="1"/>
  <c r="B1697" i="1"/>
  <c r="C1697" i="1" s="1"/>
  <c r="E1697" i="1"/>
  <c r="F1697" i="1" s="1"/>
  <c r="B1698" i="1"/>
  <c r="C1698" i="1" s="1"/>
  <c r="E1698" i="1"/>
  <c r="F1698" i="1" s="1"/>
  <c r="B1699" i="1"/>
  <c r="C1699" i="1" s="1"/>
  <c r="E1699" i="1"/>
  <c r="F1699" i="1" s="1"/>
  <c r="B1700" i="1"/>
  <c r="C1700" i="1" s="1"/>
  <c r="E1700" i="1"/>
  <c r="F1700" i="1" s="1"/>
  <c r="B1701" i="1"/>
  <c r="C1701" i="1" s="1"/>
  <c r="E1701" i="1"/>
  <c r="F1701" i="1" s="1"/>
  <c r="B1702" i="1"/>
  <c r="C1702" i="1" s="1"/>
  <c r="E1702" i="1"/>
  <c r="F1702" i="1" s="1"/>
  <c r="B1703" i="1"/>
  <c r="E1703" i="1"/>
  <c r="B1704" i="1"/>
  <c r="C1704" i="1" s="1"/>
  <c r="E1704" i="1"/>
  <c r="F1704" i="1" s="1"/>
  <c r="B1705" i="1"/>
  <c r="C1705" i="1" s="1"/>
  <c r="E1705" i="1"/>
  <c r="F1705" i="1" s="1"/>
  <c r="B1706" i="1"/>
  <c r="C1706" i="1" s="1"/>
  <c r="E1706" i="1"/>
  <c r="F1706" i="1" s="1"/>
  <c r="B1707" i="1"/>
  <c r="C1707" i="1" s="1"/>
  <c r="E1707" i="1"/>
  <c r="F1707" i="1" s="1"/>
  <c r="B1708" i="1"/>
  <c r="C1708" i="1" s="1"/>
  <c r="E1708" i="1"/>
  <c r="F1708" i="1" s="1"/>
  <c r="B1709" i="1"/>
  <c r="C1709" i="1" s="1"/>
  <c r="E1709" i="1"/>
  <c r="F1709" i="1" s="1"/>
  <c r="B1710" i="1"/>
  <c r="C1710" i="1" s="1"/>
  <c r="E1710" i="1"/>
  <c r="F1710" i="1" s="1"/>
  <c r="B1711" i="1"/>
  <c r="C1711" i="1" s="1"/>
  <c r="E1711" i="1"/>
  <c r="B1712" i="1"/>
  <c r="E1712" i="1"/>
  <c r="F1712" i="1" s="1"/>
  <c r="B1713" i="1"/>
  <c r="C1713" i="1" s="1"/>
  <c r="E1713" i="1"/>
  <c r="F1713" i="1" s="1"/>
  <c r="B1714" i="1"/>
  <c r="C1714" i="1" s="1"/>
  <c r="E1714" i="1"/>
  <c r="F1714" i="1" s="1"/>
  <c r="B1715" i="1"/>
  <c r="C1715" i="1" s="1"/>
  <c r="E1715" i="1"/>
  <c r="F1715" i="1" s="1"/>
  <c r="B1716" i="1"/>
  <c r="C1716" i="1" s="1"/>
  <c r="E1716" i="1"/>
  <c r="F1716" i="1"/>
  <c r="B1717" i="1"/>
  <c r="C1717" i="1" s="1"/>
  <c r="E1717" i="1"/>
  <c r="F1717" i="1" s="1"/>
  <c r="B1718" i="1"/>
  <c r="C1718" i="1" s="1"/>
  <c r="E1718" i="1"/>
  <c r="B1719" i="1"/>
  <c r="E1719" i="1"/>
  <c r="F1719" i="1" s="1"/>
  <c r="B1720" i="1"/>
  <c r="C1720" i="1" s="1"/>
  <c r="E1720" i="1"/>
  <c r="F1720" i="1" s="1"/>
  <c r="B1721" i="1"/>
  <c r="C1721" i="1" s="1"/>
  <c r="E1721" i="1"/>
  <c r="F1721" i="1" s="1"/>
  <c r="B1722" i="1"/>
  <c r="C1722" i="1" s="1"/>
  <c r="E1722" i="1"/>
  <c r="F1722" i="1" s="1"/>
  <c r="B1723" i="1"/>
  <c r="C1723" i="1" s="1"/>
  <c r="E1723" i="1"/>
  <c r="F1723" i="1" s="1"/>
  <c r="B1724" i="1"/>
  <c r="C1724" i="1" s="1"/>
  <c r="E1724" i="1"/>
  <c r="F1724" i="1" s="1"/>
  <c r="B1725" i="1"/>
  <c r="C1725" i="1" s="1"/>
  <c r="E1725" i="1"/>
  <c r="F1725" i="1" s="1"/>
  <c r="B1726" i="1"/>
  <c r="C1726" i="1" s="1"/>
  <c r="E1726" i="1"/>
  <c r="F1726" i="1" s="1"/>
  <c r="B1727" i="1"/>
  <c r="E1727" i="1"/>
  <c r="B1728" i="1"/>
  <c r="C1728" i="1" s="1"/>
  <c r="E1728" i="1"/>
  <c r="F1728" i="1" s="1"/>
  <c r="B1729" i="1"/>
  <c r="C1729" i="1" s="1"/>
  <c r="E1729" i="1"/>
  <c r="F1729" i="1" s="1"/>
  <c r="B1730" i="1"/>
  <c r="C1730" i="1" s="1"/>
  <c r="E1730" i="1"/>
  <c r="F1730" i="1" s="1"/>
  <c r="B1731" i="1"/>
  <c r="C1731" i="1" s="1"/>
  <c r="E1731" i="1"/>
  <c r="F1731" i="1" s="1"/>
  <c r="B1732" i="1"/>
  <c r="C1732" i="1" s="1"/>
  <c r="E1732" i="1"/>
  <c r="F1732" i="1" s="1"/>
  <c r="B1733" i="1"/>
  <c r="C1733" i="1" s="1"/>
  <c r="E1733" i="1"/>
  <c r="F1733" i="1" s="1"/>
  <c r="B1734" i="1"/>
  <c r="C1734" i="1" s="1"/>
  <c r="E1734" i="1"/>
  <c r="B1735" i="1"/>
  <c r="E1735" i="1"/>
  <c r="F1735" i="1" s="1"/>
  <c r="B1736" i="1"/>
  <c r="C1736" i="1" s="1"/>
  <c r="E1736" i="1"/>
  <c r="F1736" i="1" s="1"/>
  <c r="B1737" i="1"/>
  <c r="C1737" i="1" s="1"/>
  <c r="E1737" i="1"/>
  <c r="F1737" i="1" s="1"/>
  <c r="B1738" i="1"/>
  <c r="C1738" i="1" s="1"/>
  <c r="E1738" i="1"/>
  <c r="F1738" i="1" s="1"/>
  <c r="B1739" i="1"/>
  <c r="C1739" i="1" s="1"/>
  <c r="E1739" i="1"/>
  <c r="F1739" i="1" s="1"/>
  <c r="B1740" i="1"/>
  <c r="C1740" i="1" s="1"/>
  <c r="E1740" i="1"/>
  <c r="F1740" i="1" s="1"/>
  <c r="B1741" i="1"/>
  <c r="C1741" i="1" s="1"/>
  <c r="E1741" i="1"/>
  <c r="F1741" i="1" s="1"/>
  <c r="B1742" i="1"/>
  <c r="C1742" i="1" s="1"/>
  <c r="E1742" i="1"/>
  <c r="F1742" i="1" s="1"/>
  <c r="B1743" i="1"/>
  <c r="E1743" i="1"/>
  <c r="B1744" i="1"/>
  <c r="C1744" i="1" s="1"/>
  <c r="E1744" i="1"/>
  <c r="F1744" i="1" s="1"/>
  <c r="B1745" i="1"/>
  <c r="C1745" i="1" s="1"/>
  <c r="E1745" i="1"/>
  <c r="F1745" i="1" s="1"/>
  <c r="B1746" i="1"/>
  <c r="C1746" i="1" s="1"/>
  <c r="E1746" i="1"/>
  <c r="F1746" i="1" s="1"/>
  <c r="B1747" i="1"/>
  <c r="C1747" i="1" s="1"/>
  <c r="E1747" i="1"/>
  <c r="F1747" i="1" s="1"/>
  <c r="B1748" i="1"/>
  <c r="C1748" i="1" s="1"/>
  <c r="E1748" i="1"/>
  <c r="F1748" i="1" s="1"/>
  <c r="B1749" i="1"/>
  <c r="C1749" i="1" s="1"/>
  <c r="E1749" i="1"/>
  <c r="F1749" i="1" s="1"/>
  <c r="B1750" i="1"/>
  <c r="C1750" i="1" s="1"/>
  <c r="E1750" i="1"/>
  <c r="B1751" i="1"/>
  <c r="E1751" i="1"/>
  <c r="F1751" i="1" s="1"/>
  <c r="B1752" i="1"/>
  <c r="C1752" i="1" s="1"/>
  <c r="E1752" i="1"/>
  <c r="F1752" i="1" s="1"/>
  <c r="B1753" i="1"/>
  <c r="C1753" i="1" s="1"/>
  <c r="E1753" i="1"/>
  <c r="F1753" i="1" s="1"/>
  <c r="B1754" i="1"/>
  <c r="C1754" i="1" s="1"/>
  <c r="E1754" i="1"/>
  <c r="F1754" i="1" s="1"/>
  <c r="B1755" i="1"/>
  <c r="C1755" i="1" s="1"/>
  <c r="E1755" i="1"/>
  <c r="F1755" i="1" s="1"/>
  <c r="B1756" i="1"/>
  <c r="C1756" i="1" s="1"/>
  <c r="E1756" i="1"/>
  <c r="F1756" i="1" s="1"/>
  <c r="B1757" i="1"/>
  <c r="C1757" i="1" s="1"/>
  <c r="E1757" i="1"/>
  <c r="F1757" i="1" s="1"/>
  <c r="B1758" i="1"/>
  <c r="C1758" i="1" s="1"/>
  <c r="E1758" i="1"/>
  <c r="F1758" i="1" s="1"/>
  <c r="B1759" i="1"/>
  <c r="E1759" i="1"/>
  <c r="B1760" i="1"/>
  <c r="C1760" i="1" s="1"/>
  <c r="E1760" i="1"/>
  <c r="F1760" i="1" s="1"/>
  <c r="B1761" i="1"/>
  <c r="C1761" i="1" s="1"/>
  <c r="E1761" i="1"/>
  <c r="F1761" i="1" s="1"/>
  <c r="B1762" i="1"/>
  <c r="E1762" i="1"/>
  <c r="F1762" i="1" s="1"/>
  <c r="F330" i="1" l="1"/>
  <c r="F331" i="1"/>
  <c r="C962" i="1"/>
  <c r="C963" i="1"/>
  <c r="C934" i="1"/>
  <c r="C935" i="1"/>
  <c r="F462" i="1"/>
  <c r="C432" i="1"/>
  <c r="C416" i="1"/>
  <c r="C400" i="1"/>
  <c r="C384" i="1"/>
  <c r="F368" i="1"/>
  <c r="F352" i="1"/>
  <c r="C337" i="1"/>
  <c r="C321" i="1"/>
  <c r="F305" i="1"/>
  <c r="F275" i="1"/>
  <c r="F259" i="1"/>
  <c r="F243" i="1"/>
  <c r="C229" i="1"/>
  <c r="C213" i="1"/>
  <c r="C197" i="1"/>
  <c r="C181" i="1"/>
  <c r="C165" i="1"/>
  <c r="F974" i="1"/>
  <c r="F975" i="1"/>
  <c r="F999" i="1"/>
  <c r="F1000" i="1"/>
  <c r="F1322" i="1"/>
  <c r="C1352" i="1"/>
  <c r="C990" i="1"/>
  <c r="C486" i="1"/>
  <c r="C487" i="1"/>
  <c r="F798" i="1"/>
  <c r="F799" i="1"/>
  <c r="F1024" i="1"/>
  <c r="F1025" i="1"/>
  <c r="C1216" i="1"/>
  <c r="C1217" i="1"/>
  <c r="F1172" i="1"/>
  <c r="C1594" i="1"/>
  <c r="C1609" i="1"/>
  <c r="C1610" i="1"/>
  <c r="C479" i="1"/>
  <c r="F776" i="1"/>
  <c r="C1762" i="1"/>
  <c r="C1058" i="1"/>
  <c r="F1193" i="1"/>
  <c r="F1179" i="1"/>
  <c r="F1759" i="1"/>
  <c r="F1743" i="1"/>
  <c r="F1727" i="1"/>
  <c r="C1712" i="1"/>
  <c r="C1696" i="1"/>
  <c r="C1680" i="1"/>
  <c r="C1664" i="1"/>
  <c r="C1649" i="1"/>
  <c r="F1633" i="1"/>
  <c r="F1617" i="1"/>
  <c r="F1602" i="1"/>
  <c r="C1587" i="1"/>
  <c r="C1571" i="1"/>
  <c r="F1556" i="1"/>
  <c r="F1540" i="1"/>
  <c r="F1524" i="1"/>
  <c r="F1508" i="1"/>
  <c r="F1492" i="1"/>
  <c r="F1477" i="1"/>
  <c r="F1461" i="1"/>
  <c r="F1445" i="1"/>
  <c r="C1430" i="1"/>
  <c r="F1414" i="1"/>
  <c r="F1398" i="1"/>
  <c r="C1383" i="1"/>
  <c r="F1367" i="1"/>
  <c r="C1337" i="1"/>
  <c r="C1307" i="1"/>
  <c r="C1291" i="1"/>
  <c r="F1261" i="1"/>
  <c r="F1221" i="1"/>
  <c r="C1124" i="1"/>
  <c r="C1109" i="1"/>
  <c r="C1095" i="1"/>
  <c r="F1081" i="1"/>
  <c r="F1068" i="1"/>
  <c r="C1042" i="1"/>
  <c r="F1015" i="1"/>
  <c r="C1003" i="1"/>
  <c r="F989" i="1"/>
  <c r="F904" i="1"/>
  <c r="F905" i="1"/>
  <c r="F1104" i="1"/>
  <c r="F1105" i="1"/>
  <c r="F958" i="1"/>
  <c r="F959" i="1"/>
  <c r="F1127" i="1"/>
  <c r="F1128" i="1"/>
  <c r="F1140" i="1"/>
  <c r="F1141" i="1"/>
  <c r="C977" i="1"/>
  <c r="F1430" i="1"/>
  <c r="F1207" i="1"/>
  <c r="C1166" i="1"/>
  <c r="F1151" i="1"/>
  <c r="C1138" i="1"/>
  <c r="F1028" i="1"/>
  <c r="C1759" i="1"/>
  <c r="C1743" i="1"/>
  <c r="C1727" i="1"/>
  <c r="F1711" i="1"/>
  <c r="F1695" i="1"/>
  <c r="F1679" i="1"/>
  <c r="F1663" i="1"/>
  <c r="F1648" i="1"/>
  <c r="C1633" i="1"/>
  <c r="C1617" i="1"/>
  <c r="C1602" i="1"/>
  <c r="F1586" i="1"/>
  <c r="F1570" i="1"/>
  <c r="C1556" i="1"/>
  <c r="C1540" i="1"/>
  <c r="C1524" i="1"/>
  <c r="C1508" i="1"/>
  <c r="C1492" i="1"/>
  <c r="C1477" i="1"/>
  <c r="C1461" i="1"/>
  <c r="C1445" i="1"/>
  <c r="C1414" i="1"/>
  <c r="C1398" i="1"/>
  <c r="F1382" i="1"/>
  <c r="C1367" i="1"/>
  <c r="C1261" i="1"/>
  <c r="C1247" i="1"/>
  <c r="C1234" i="1"/>
  <c r="C1221" i="1"/>
  <c r="C1207" i="1"/>
  <c r="C1179" i="1"/>
  <c r="C1151" i="1"/>
  <c r="F1137" i="1"/>
  <c r="F1123" i="1"/>
  <c r="F1108" i="1"/>
  <c r="F1094" i="1"/>
  <c r="C1081" i="1"/>
  <c r="C1068" i="1"/>
  <c r="F1055" i="1"/>
  <c r="F1041" i="1"/>
  <c r="C1028" i="1"/>
  <c r="C1015" i="1"/>
  <c r="F1002" i="1"/>
  <c r="C149" i="1"/>
  <c r="C133" i="1"/>
  <c r="C117" i="1"/>
  <c r="C102" i="1"/>
  <c r="F86" i="1"/>
  <c r="F71" i="1"/>
  <c r="F55" i="1"/>
  <c r="C52" i="1"/>
  <c r="C36" i="1"/>
  <c r="J7" i="1" s="1"/>
  <c r="C988" i="1"/>
  <c r="F935" i="1"/>
  <c r="C1751" i="1"/>
  <c r="C1719" i="1"/>
  <c r="F1687" i="1"/>
  <c r="F1641" i="1"/>
  <c r="C1595" i="1"/>
  <c r="C1549" i="1"/>
  <c r="C1533" i="1"/>
  <c r="C1501" i="1"/>
  <c r="C1485" i="1"/>
  <c r="C1470" i="1"/>
  <c r="C1454" i="1"/>
  <c r="F1438" i="1"/>
  <c r="C1423" i="1"/>
  <c r="C1407" i="1"/>
  <c r="C1391" i="1"/>
  <c r="C1376" i="1"/>
  <c r="C1360" i="1"/>
  <c r="F1344" i="1"/>
  <c r="C1330" i="1"/>
  <c r="C1315" i="1"/>
  <c r="F1299" i="1"/>
  <c r="F1283" i="1"/>
  <c r="C1269" i="1"/>
  <c r="F1255" i="1"/>
  <c r="F1242" i="1"/>
  <c r="F1229" i="1"/>
  <c r="F1203" i="1"/>
  <c r="F1188" i="1"/>
  <c r="C1175" i="1"/>
  <c r="C1162" i="1"/>
  <c r="F1147" i="1"/>
  <c r="F1134" i="1"/>
  <c r="C1120" i="1"/>
  <c r="C1092" i="1"/>
  <c r="C1053" i="1"/>
  <c r="C1039" i="1"/>
  <c r="C1013" i="1"/>
  <c r="F987" i="1"/>
  <c r="F948" i="1"/>
  <c r="C922" i="1"/>
  <c r="C908" i="1"/>
  <c r="F894" i="1"/>
  <c r="F880" i="1"/>
  <c r="F864" i="1"/>
  <c r="C849" i="1"/>
  <c r="C834" i="1"/>
  <c r="C818" i="1"/>
  <c r="C802" i="1"/>
  <c r="F786" i="1"/>
  <c r="C771" i="1"/>
  <c r="C755" i="1"/>
  <c r="F739" i="1"/>
  <c r="C724" i="1"/>
  <c r="C709" i="1"/>
  <c r="C693" i="1"/>
  <c r="F677" i="1"/>
  <c r="F661" i="1"/>
  <c r="F645" i="1"/>
  <c r="F629" i="1"/>
  <c r="C614" i="1"/>
  <c r="C598" i="1"/>
  <c r="C583" i="1"/>
  <c r="F567" i="1"/>
  <c r="F551" i="1"/>
  <c r="F535" i="1"/>
  <c r="F519" i="1"/>
  <c r="F300" i="1"/>
  <c r="C1001" i="1"/>
  <c r="C1735" i="1"/>
  <c r="F1703" i="1"/>
  <c r="F1671" i="1"/>
  <c r="F1625" i="1"/>
  <c r="F1579" i="1"/>
  <c r="F1563" i="1"/>
  <c r="C1517" i="1"/>
  <c r="F1750" i="1"/>
  <c r="F1734" i="1"/>
  <c r="F1718" i="1"/>
  <c r="C1703" i="1"/>
  <c r="C1687" i="1"/>
  <c r="C1671" i="1"/>
  <c r="C1641" i="1"/>
  <c r="C1625" i="1"/>
  <c r="F1594" i="1"/>
  <c r="C1579" i="1"/>
  <c r="C1563" i="1"/>
  <c r="F1548" i="1"/>
  <c r="F1532" i="1"/>
  <c r="F1516" i="1"/>
  <c r="F1500" i="1"/>
  <c r="F1484" i="1"/>
  <c r="F1469" i="1"/>
  <c r="F1453" i="1"/>
  <c r="C1438" i="1"/>
  <c r="F1422" i="1"/>
  <c r="F1406" i="1"/>
  <c r="F1390" i="1"/>
  <c r="F1375" i="1"/>
  <c r="F1359" i="1"/>
  <c r="C1344" i="1"/>
  <c r="F1329" i="1"/>
  <c r="F1314" i="1"/>
  <c r="C1299" i="1"/>
  <c r="C1242" i="1"/>
  <c r="C1203" i="1"/>
  <c r="C1188" i="1"/>
  <c r="C1147" i="1"/>
  <c r="C1134" i="1"/>
  <c r="F1119" i="1"/>
  <c r="F1091" i="1"/>
  <c r="C1078" i="1"/>
  <c r="F1065" i="1"/>
  <c r="F1052" i="1"/>
  <c r="F1038" i="1"/>
  <c r="F1012" i="1"/>
  <c r="C975" i="1"/>
  <c r="F962" i="1"/>
  <c r="C948" i="1"/>
  <c r="F921" i="1"/>
  <c r="F907" i="1"/>
  <c r="C894" i="1"/>
  <c r="C880" i="1"/>
  <c r="C864" i="1"/>
  <c r="F848" i="1"/>
  <c r="F833" i="1"/>
  <c r="F817" i="1"/>
  <c r="F801" i="1"/>
  <c r="C786" i="1"/>
  <c r="F770" i="1"/>
  <c r="F754" i="1"/>
  <c r="C739" i="1"/>
  <c r="F723" i="1"/>
  <c r="F708" i="1"/>
  <c r="F692" i="1"/>
  <c r="C677" i="1"/>
  <c r="C661" i="1"/>
  <c r="C645" i="1"/>
  <c r="C629" i="1"/>
  <c r="F613" i="1"/>
  <c r="F597" i="1"/>
  <c r="C567" i="1"/>
  <c r="C551" i="1"/>
  <c r="F487" i="1"/>
  <c r="F39" i="1"/>
  <c r="F23" i="1"/>
  <c r="F7" i="1"/>
  <c r="C20" i="1"/>
  <c r="F1350" i="1"/>
  <c r="F1335" i="1"/>
  <c r="C1321" i="1"/>
  <c r="F1305" i="1"/>
  <c r="F1289" i="1"/>
  <c r="F1274" i="1"/>
  <c r="C1235" i="1"/>
  <c r="F1155" i="1"/>
  <c r="F1114" i="1"/>
  <c r="C1101" i="1"/>
  <c r="F1087" i="1"/>
  <c r="F1074" i="1"/>
  <c r="F1049" i="1"/>
  <c r="F1023" i="1"/>
  <c r="F997" i="1"/>
  <c r="F984" i="1"/>
  <c r="F972" i="1"/>
  <c r="F945" i="1"/>
  <c r="C933" i="1"/>
  <c r="C919" i="1"/>
  <c r="C878" i="1"/>
  <c r="C862" i="1"/>
  <c r="F846" i="1"/>
  <c r="F831" i="1"/>
  <c r="F815" i="1"/>
  <c r="F784" i="1"/>
  <c r="C769" i="1"/>
  <c r="C753" i="1"/>
  <c r="F737" i="1"/>
  <c r="C722" i="1"/>
  <c r="C707" i="1"/>
  <c r="C691" i="1"/>
  <c r="F675" i="1"/>
  <c r="F659" i="1"/>
  <c r="F643" i="1"/>
  <c r="F627" i="1"/>
  <c r="C612" i="1"/>
  <c r="C596" i="1"/>
  <c r="F581" i="1"/>
  <c r="F565" i="1"/>
  <c r="F549" i="1"/>
  <c r="C534" i="1"/>
  <c r="C518" i="1"/>
  <c r="F502" i="1"/>
  <c r="F472" i="1"/>
  <c r="F456" i="1"/>
  <c r="C441" i="1"/>
  <c r="C426" i="1"/>
  <c r="C410" i="1"/>
  <c r="C394" i="1"/>
  <c r="F378" i="1"/>
  <c r="F362" i="1"/>
  <c r="F346" i="1"/>
  <c r="C316" i="1"/>
  <c r="C300" i="1"/>
  <c r="F285" i="1"/>
  <c r="F270" i="1"/>
  <c r="F254" i="1"/>
  <c r="F238" i="1"/>
  <c r="C224" i="1"/>
  <c r="C208" i="1"/>
  <c r="C192" i="1"/>
  <c r="C176" i="1"/>
  <c r="C160" i="1"/>
  <c r="C144" i="1"/>
  <c r="C128" i="1"/>
  <c r="C112" i="1"/>
  <c r="C97" i="1"/>
  <c r="C82" i="1"/>
  <c r="F66" i="1"/>
  <c r="F50" i="1"/>
  <c r="F34" i="1"/>
  <c r="F18" i="1"/>
  <c r="J8" i="1" s="1"/>
  <c r="F1320" i="1"/>
  <c r="C1305" i="1"/>
  <c r="C1289" i="1"/>
  <c r="C1274" i="1"/>
  <c r="F1247" i="1"/>
  <c r="F1234" i="1"/>
  <c r="C1222" i="1"/>
  <c r="C1074" i="1"/>
  <c r="C1049" i="1"/>
  <c r="C1023" i="1"/>
  <c r="C1010" i="1"/>
  <c r="C997" i="1"/>
  <c r="C984" i="1"/>
  <c r="C972" i="1"/>
  <c r="C945" i="1"/>
  <c r="F932" i="1"/>
  <c r="F918" i="1"/>
  <c r="C892" i="1"/>
  <c r="F877" i="1"/>
  <c r="F861" i="1"/>
  <c r="C846" i="1"/>
  <c r="C831" i="1"/>
  <c r="C815" i="1"/>
  <c r="C784" i="1"/>
  <c r="F768" i="1"/>
  <c r="F752" i="1"/>
  <c r="C737" i="1"/>
  <c r="F721" i="1"/>
  <c r="F706" i="1"/>
  <c r="F690" i="1"/>
  <c r="C675" i="1"/>
  <c r="C659" i="1"/>
  <c r="C643" i="1"/>
  <c r="C627" i="1"/>
  <c r="F611" i="1"/>
  <c r="F595" i="1"/>
  <c r="C581" i="1"/>
  <c r="C565" i="1"/>
  <c r="F533" i="1"/>
  <c r="C502" i="1"/>
  <c r="C472" i="1"/>
  <c r="C456" i="1"/>
  <c r="F440" i="1"/>
  <c r="F425" i="1"/>
  <c r="F409" i="1"/>
  <c r="F393" i="1"/>
  <c r="C378" i="1"/>
  <c r="C362" i="1"/>
  <c r="C346" i="1"/>
  <c r="C331" i="1"/>
  <c r="F315" i="1"/>
  <c r="C285" i="1"/>
  <c r="C270" i="1"/>
  <c r="C254" i="1"/>
  <c r="C238" i="1"/>
  <c r="F223" i="1"/>
  <c r="F207" i="1"/>
  <c r="F191" i="1"/>
  <c r="F175" i="1"/>
  <c r="F159" i="1"/>
  <c r="F143" i="1"/>
  <c r="F127" i="1"/>
  <c r="F111" i="1"/>
  <c r="F96" i="1"/>
  <c r="F81" i="1"/>
  <c r="C66" i="1"/>
  <c r="C50" i="1"/>
  <c r="C34" i="1"/>
  <c r="C18" i="1"/>
  <c r="E2" i="6"/>
  <c r="D3" i="3"/>
  <c r="D4" i="3"/>
  <c r="D5" i="3"/>
  <c r="D2" i="3"/>
  <c r="F3" i="3"/>
  <c r="F4" i="3"/>
  <c r="F5" i="3"/>
  <c r="F2" i="3"/>
  <c r="F3" i="2"/>
  <c r="F4" i="2"/>
  <c r="F5" i="2"/>
  <c r="F6" i="2"/>
  <c r="F7" i="2"/>
  <c r="F8" i="2"/>
  <c r="F2" i="2"/>
  <c r="C22" i="7" l="1"/>
  <c r="C25" i="7" s="1"/>
  <c r="C5" i="7"/>
  <c r="C3" i="7"/>
  <c r="J9" i="1" l="1"/>
  <c r="C4" i="7" s="1"/>
  <c r="C8" i="7" s="1"/>
  <c r="G1114" i="1"/>
  <c r="G683" i="1"/>
  <c r="D1027" i="1"/>
  <c r="G1368" i="1"/>
  <c r="D1642" i="1"/>
  <c r="G1075" i="1"/>
  <c r="D548" i="1"/>
  <c r="D1695" i="1"/>
  <c r="D1226" i="1"/>
  <c r="D1232" i="1"/>
  <c r="G1012" i="1"/>
  <c r="G1492" i="1"/>
  <c r="G480" i="1"/>
  <c r="D1629" i="1"/>
  <c r="G1762" i="1"/>
  <c r="G461" i="1"/>
  <c r="G1556" i="1"/>
  <c r="D523" i="1"/>
  <c r="G200" i="1"/>
  <c r="D1200" i="1"/>
  <c r="D721" i="1"/>
  <c r="D1077" i="1"/>
  <c r="G1717" i="1"/>
  <c r="D1169" i="1"/>
  <c r="D1627" i="1"/>
  <c r="G677" i="1"/>
  <c r="D439" i="1"/>
  <c r="G957" i="1"/>
  <c r="D748" i="1"/>
  <c r="D935" i="1"/>
  <c r="G88" i="1"/>
  <c r="G1106" i="1"/>
  <c r="G1251" i="1"/>
  <c r="D477" i="1"/>
  <c r="D241" i="1"/>
  <c r="D63" i="1"/>
  <c r="G1299" i="1"/>
  <c r="D1003" i="1"/>
  <c r="D904" i="1"/>
  <c r="G1293" i="1"/>
  <c r="D638" i="1"/>
  <c r="G564" i="1"/>
  <c r="D845" i="1"/>
  <c r="D1574" i="1"/>
  <c r="D1615" i="1"/>
  <c r="G5" i="3"/>
  <c r="G501" i="1"/>
  <c r="G727" i="1"/>
  <c r="D1626" i="1"/>
  <c r="G725" i="1"/>
  <c r="G820" i="1"/>
  <c r="D221" i="1"/>
  <c r="D1608" i="1"/>
  <c r="G895" i="1"/>
  <c r="D519" i="1"/>
  <c r="D1680" i="1"/>
  <c r="D1391" i="1"/>
  <c r="G124" i="1"/>
  <c r="G1615" i="1"/>
  <c r="G295" i="1"/>
  <c r="D1605" i="1"/>
  <c r="D1105" i="1"/>
  <c r="G327" i="1"/>
  <c r="G1059" i="1"/>
  <c r="G1379" i="1"/>
  <c r="D214" i="1"/>
  <c r="G1510" i="1"/>
  <c r="D411" i="1"/>
  <c r="G1322" i="1"/>
  <c r="D1076" i="1"/>
  <c r="D1252" i="1"/>
  <c r="D1700" i="1"/>
  <c r="G94" i="1"/>
  <c r="D259" i="1"/>
  <c r="G1003" i="1"/>
  <c r="G939" i="1"/>
  <c r="D1175" i="1"/>
  <c r="D409" i="1"/>
  <c r="D215" i="1"/>
  <c r="G1090" i="1"/>
  <c r="G767" i="1"/>
  <c r="D1302" i="1"/>
  <c r="G709" i="1"/>
  <c r="G287" i="1"/>
  <c r="D1368" i="1"/>
  <c r="D1010" i="1"/>
  <c r="D1116" i="1"/>
  <c r="G351" i="1"/>
  <c r="G415" i="1"/>
  <c r="D537" i="1"/>
  <c r="G1138" i="1"/>
  <c r="G1187" i="1"/>
  <c r="D747" i="1"/>
  <c r="G715" i="1"/>
  <c r="D715" i="1"/>
  <c r="D248" i="1"/>
  <c r="D1691" i="1"/>
  <c r="G721" i="1"/>
  <c r="G1485" i="1"/>
  <c r="D367" i="1"/>
  <c r="D1686" i="1"/>
  <c r="D1065" i="1"/>
  <c r="G305" i="1"/>
  <c r="D415" i="1"/>
  <c r="D85" i="1"/>
  <c r="G410" i="1"/>
  <c r="D180" i="1"/>
  <c r="D669" i="1"/>
  <c r="D962" i="1"/>
  <c r="G381" i="1"/>
  <c r="G481" i="1"/>
  <c r="G904" i="1"/>
  <c r="D1000" i="1"/>
  <c r="G664" i="1"/>
  <c r="G1749" i="1"/>
  <c r="D930" i="1"/>
  <c r="G669" i="1"/>
  <c r="G1105" i="1"/>
  <c r="G1672" i="1"/>
  <c r="D343" i="1"/>
  <c r="D838" i="1"/>
  <c r="G1658" i="1"/>
  <c r="G83" i="1"/>
  <c r="G961" i="1"/>
  <c r="D761" i="1"/>
  <c r="D1111" i="1"/>
  <c r="G1703" i="1"/>
  <c r="G1008" i="1"/>
  <c r="D1364" i="1"/>
  <c r="G555" i="1"/>
  <c r="G1172" i="1"/>
  <c r="D1427" i="1"/>
  <c r="G1397" i="1"/>
  <c r="D1669" i="1"/>
  <c r="D580" i="1"/>
  <c r="G260" i="1"/>
  <c r="D352" i="1"/>
  <c r="G250" i="1"/>
  <c r="G1640" i="1"/>
  <c r="G1639" i="1"/>
  <c r="G622" i="1"/>
  <c r="G1723" i="1"/>
  <c r="G1568" i="1"/>
  <c r="D309" i="1"/>
  <c r="G1310" i="1"/>
  <c r="G1681" i="1"/>
  <c r="G988" i="1"/>
  <c r="G1365" i="1"/>
  <c r="D500" i="1"/>
  <c r="D275" i="1"/>
  <c r="D119" i="1"/>
  <c r="G150" i="1"/>
  <c r="G502" i="1"/>
  <c r="G745" i="1"/>
  <c r="G1602" i="1"/>
  <c r="G1305" i="1"/>
  <c r="G1680" i="1"/>
  <c r="D143" i="1"/>
  <c r="G1339" i="1"/>
  <c r="G1134" i="1"/>
  <c r="G1241" i="1"/>
  <c r="G1621" i="1"/>
  <c r="G1183" i="1"/>
  <c r="D664" i="1"/>
  <c r="G231" i="1"/>
  <c r="D1439" i="1"/>
  <c r="D1729" i="1"/>
  <c r="D66" i="1"/>
  <c r="G574" i="1"/>
  <c r="D99" i="1"/>
  <c r="D183" i="1"/>
  <c r="D56" i="1"/>
  <c r="G714" i="1"/>
  <c r="D323" i="1"/>
  <c r="G1711" i="1"/>
  <c r="D1212" i="1"/>
  <c r="G760" i="1"/>
  <c r="G1182" i="1"/>
  <c r="G344" i="1"/>
  <c r="D1468" i="1"/>
  <c r="G406" i="1"/>
  <c r="G1076" i="1"/>
  <c r="D798" i="1"/>
  <c r="G1279" i="1"/>
  <c r="D128" i="1"/>
  <c r="G1140" i="1"/>
  <c r="G118" i="1"/>
  <c r="D1117" i="1"/>
  <c r="G778" i="1"/>
  <c r="G257" i="1"/>
  <c r="D1640" i="1"/>
  <c r="G1435" i="1"/>
  <c r="G364" i="1"/>
  <c r="D1571" i="1"/>
  <c r="D1201" i="1"/>
  <c r="D317" i="1"/>
  <c r="G515" i="1"/>
  <c r="G1118" i="1"/>
  <c r="D364" i="1"/>
  <c r="D1495" i="1"/>
  <c r="G443" i="1"/>
  <c r="D176" i="1"/>
  <c r="G1329" i="1"/>
  <c r="D78" i="1"/>
  <c r="G543" i="1"/>
  <c r="D509" i="1"/>
  <c r="D1739" i="1"/>
  <c r="G811" i="1"/>
  <c r="G983" i="1"/>
  <c r="G1514" i="1"/>
  <c r="D1248" i="1"/>
  <c r="G952" i="1"/>
  <c r="D1020" i="1"/>
  <c r="G681" i="1"/>
  <c r="D841" i="1"/>
  <c r="G224" i="1"/>
  <c r="D1267" i="1"/>
  <c r="G1731" i="1"/>
  <c r="D870" i="1"/>
  <c r="D284" i="1"/>
  <c r="G1275" i="1"/>
  <c r="D486" i="1"/>
  <c r="D696" i="1"/>
  <c r="D586" i="1"/>
  <c r="G527" i="1"/>
  <c r="G1184" i="1"/>
  <c r="G1430" i="1"/>
  <c r="G447" i="1"/>
  <c r="G1115" i="1"/>
  <c r="D709" i="1"/>
  <c r="G724" i="1"/>
  <c r="D28" i="1"/>
  <c r="G272" i="1"/>
  <c r="G1386" i="1"/>
  <c r="G851" i="1"/>
  <c r="G728" i="1"/>
  <c r="G785" i="1"/>
  <c r="G752" i="1"/>
  <c r="G1294" i="1"/>
  <c r="D584" i="1"/>
  <c r="D1180" i="1"/>
  <c r="D1578" i="1"/>
  <c r="D946" i="1"/>
  <c r="G1218" i="1"/>
  <c r="G1139" i="1"/>
  <c r="D80" i="1"/>
  <c r="G1527" i="1"/>
  <c r="G1737" i="1"/>
  <c r="G703" i="1"/>
  <c r="G876" i="1"/>
  <c r="G1381" i="1"/>
  <c r="D130" i="1"/>
  <c r="G1646" i="1"/>
  <c r="G1316" i="1"/>
  <c r="D501" i="1"/>
  <c r="G1234" i="1"/>
  <c r="D1395" i="1"/>
  <c r="G370" i="1"/>
  <c r="G1010" i="1"/>
  <c r="D1127" i="1"/>
  <c r="G746" i="1"/>
  <c r="D1087" i="1"/>
  <c r="D1380" i="1"/>
  <c r="D1001" i="1"/>
  <c r="D631" i="1"/>
  <c r="G215" i="1"/>
  <c r="D422" i="1"/>
  <c r="G1502" i="1"/>
  <c r="D1249" i="1"/>
  <c r="D1240" i="1"/>
  <c r="G694" i="1"/>
  <c r="D315" i="1"/>
  <c r="G602" i="1"/>
  <c r="D1352" i="1"/>
  <c r="D941" i="1"/>
  <c r="D996" i="1"/>
  <c r="G1219" i="1"/>
  <c r="G1111" i="1"/>
  <c r="D1007" i="1"/>
  <c r="D1672" i="1"/>
  <c r="G1181" i="1"/>
  <c r="D1376" i="1"/>
  <c r="G471" i="1"/>
  <c r="G947" i="1"/>
  <c r="G116" i="1"/>
  <c r="G1667" i="1"/>
  <c r="G248" i="1"/>
  <c r="G934" i="1"/>
  <c r="G572" i="1"/>
  <c r="D1564" i="1"/>
  <c r="G412" i="1"/>
  <c r="G1441" i="1"/>
  <c r="D1613" i="1"/>
  <c r="G1143" i="1"/>
  <c r="G1057" i="1"/>
  <c r="G642" i="1"/>
  <c r="G1280" i="1"/>
  <c r="D1616" i="1"/>
  <c r="G643" i="1"/>
  <c r="G1705" i="1"/>
  <c r="D1687" i="1"/>
  <c r="D1707" i="1"/>
  <c r="D121" i="1"/>
  <c r="G164" i="1"/>
  <c r="G1698" i="1"/>
  <c r="D1760" i="1"/>
  <c r="D273" i="1"/>
  <c r="G220" i="1"/>
  <c r="D425" i="1"/>
  <c r="D1250" i="1"/>
  <c r="G590" i="1"/>
  <c r="G322" i="1"/>
  <c r="D681" i="1"/>
  <c r="D688" i="1"/>
  <c r="D950" i="1"/>
  <c r="G1372" i="1"/>
  <c r="D493" i="1"/>
  <c r="D1452" i="1"/>
  <c r="G1230" i="1"/>
  <c r="G1488" i="1"/>
  <c r="D1318" i="1"/>
  <c r="G509" i="1"/>
  <c r="D1300" i="1"/>
  <c r="D830" i="1"/>
  <c r="D1628" i="1"/>
  <c r="G892" i="1"/>
  <c r="G1363" i="1"/>
  <c r="G100" i="1"/>
  <c r="D1290" i="1"/>
  <c r="G496" i="1"/>
  <c r="G342" i="1"/>
  <c r="D925" i="1"/>
  <c r="G1041" i="1"/>
  <c r="G648" i="1"/>
  <c r="G1060" i="1"/>
  <c r="G1292" i="1"/>
  <c r="G234" i="1"/>
  <c r="D1124" i="1"/>
  <c r="D1440" i="1"/>
  <c r="G1554" i="1"/>
  <c r="D1014" i="1"/>
  <c r="D1190" i="1"/>
  <c r="D1266" i="1"/>
  <c r="G1303" i="1"/>
  <c r="G830" i="1"/>
  <c r="D1551" i="1"/>
  <c r="G1079" i="1"/>
  <c r="G1456" i="1"/>
  <c r="G428" i="1"/>
  <c r="D684" i="1"/>
  <c r="G119" i="1"/>
  <c r="G1563" i="1"/>
  <c r="G1221" i="1"/>
  <c r="G484" i="1"/>
  <c r="D1508" i="1"/>
  <c r="G1426" i="1"/>
  <c r="D1647" i="1"/>
  <c r="G795" i="1"/>
  <c r="G558" i="1"/>
  <c r="D1292" i="1"/>
  <c r="G1321" i="1"/>
  <c r="D764" i="1"/>
  <c r="G1710" i="1"/>
  <c r="G675" i="1"/>
  <c r="G568" i="1"/>
  <c r="G655" i="1"/>
  <c r="D1012" i="1"/>
  <c r="D724" i="1"/>
  <c r="D1171" i="1"/>
  <c r="G147" i="1"/>
  <c r="D1603" i="1"/>
  <c r="D118" i="1"/>
  <c r="G1291" i="1"/>
  <c r="G1144" i="1"/>
  <c r="G853" i="1"/>
  <c r="G1000" i="1"/>
  <c r="D572" i="1"/>
  <c r="D355" i="1"/>
  <c r="G1595" i="1"/>
  <c r="D739" i="1"/>
  <c r="D161" i="1"/>
  <c r="D615" i="1"/>
  <c r="G717" i="1"/>
  <c r="G856" i="1"/>
  <c r="D83" i="1"/>
  <c r="G431" i="1"/>
  <c r="G1688" i="1"/>
  <c r="G362" i="1"/>
  <c r="G807" i="1"/>
  <c r="G1148" i="1"/>
  <c r="D1158" i="1"/>
  <c r="D1425" i="1"/>
  <c r="G1490" i="1"/>
  <c r="D702" i="1"/>
  <c r="D1045" i="1"/>
  <c r="G1396" i="1"/>
  <c r="D1561" i="1"/>
  <c r="G115" i="1"/>
  <c r="G233" i="1"/>
  <c r="D1028" i="1"/>
  <c r="D1284" i="1"/>
  <c r="D1189" i="1"/>
  <c r="G1454" i="1"/>
  <c r="G932" i="1"/>
  <c r="G610" i="1"/>
  <c r="G302" i="1"/>
  <c r="G1638" i="1"/>
  <c r="D81" i="1"/>
  <c r="G1403" i="1"/>
  <c r="G1437" i="1"/>
  <c r="G1671" i="1"/>
  <c r="G1357" i="1"/>
  <c r="D1009" i="1"/>
  <c r="G76" i="1"/>
  <c r="D1426" i="1"/>
  <c r="D1684" i="1"/>
  <c r="G850" i="1"/>
  <c r="G1413" i="1"/>
  <c r="D17" i="1"/>
  <c r="G880" i="1"/>
  <c r="D1237" i="1"/>
  <c r="D184" i="1"/>
  <c r="D1498" i="1"/>
  <c r="D957" i="1"/>
  <c r="D920" i="1"/>
  <c r="D1262" i="1"/>
  <c r="G1063" i="1"/>
  <c r="G265" i="1"/>
  <c r="D873" i="1"/>
  <c r="G968" i="1"/>
  <c r="D1534" i="1"/>
  <c r="D1187" i="1"/>
  <c r="G1166" i="1"/>
  <c r="D330" i="1"/>
  <c r="G969" i="1"/>
  <c r="D1381" i="1"/>
  <c r="G440" i="1"/>
  <c r="D98" i="1"/>
  <c r="G995" i="1"/>
  <c r="G488" i="1"/>
  <c r="D949" i="1"/>
  <c r="G766" i="1"/>
  <c r="D511" i="1"/>
  <c r="D549" i="1"/>
  <c r="G1171" i="1"/>
  <c r="G1472" i="1"/>
  <c r="G891" i="1"/>
  <c r="G1336" i="1"/>
  <c r="D1710" i="1"/>
  <c r="G1457" i="1"/>
  <c r="D858" i="1"/>
  <c r="G1523" i="1"/>
  <c r="D847" i="1"/>
  <c r="D1462" i="1"/>
  <c r="D1173" i="1"/>
  <c r="D1191" i="1"/>
  <c r="D1698" i="1"/>
  <c r="G1631" i="1"/>
  <c r="G114" i="1"/>
  <c r="D1625" i="1"/>
  <c r="D496" i="1"/>
  <c r="D316" i="1"/>
  <c r="G589" i="1"/>
  <c r="G1416" i="1"/>
  <c r="G1256" i="1"/>
  <c r="G782" i="1"/>
  <c r="G1269" i="1"/>
  <c r="D185" i="1"/>
  <c r="D745" i="1"/>
  <c r="G1002" i="1"/>
  <c r="D135" i="1"/>
  <c r="D72" i="1"/>
  <c r="D37" i="1"/>
  <c r="G886" i="1"/>
  <c r="G673" i="1"/>
  <c r="D1196" i="1"/>
  <c r="D1402" i="1"/>
  <c r="D192" i="1"/>
  <c r="D33" i="1"/>
  <c r="G216" i="1"/>
  <c r="G989" i="1"/>
  <c r="D1259" i="1"/>
  <c r="G526" i="1"/>
  <c r="D451" i="1"/>
  <c r="G467" i="1"/>
  <c r="G1739" i="1"/>
  <c r="G374" i="1"/>
  <c r="G1006" i="1"/>
  <c r="G775" i="1"/>
  <c r="D1716" i="1"/>
  <c r="D1324" i="1"/>
  <c r="G1271" i="1"/>
  <c r="G1600" i="1"/>
  <c r="D1110" i="1"/>
  <c r="D816" i="1"/>
  <c r="G1239" i="1"/>
  <c r="G75" i="1"/>
  <c r="D1195" i="1"/>
  <c r="D1523" i="1"/>
  <c r="G129" i="1"/>
  <c r="D407" i="1"/>
  <c r="G1131" i="1"/>
  <c r="D1038" i="1"/>
  <c r="D743" i="1"/>
  <c r="D1114" i="1"/>
  <c r="G1207" i="1"/>
  <c r="G1243" i="1"/>
  <c r="G1153" i="1"/>
  <c r="G1467" i="1"/>
  <c r="G665" i="1"/>
  <c r="D1162" i="1"/>
  <c r="G232" i="1"/>
  <c r="G1067" i="1"/>
  <c r="D3" i="1"/>
  <c r="D1650" i="1"/>
  <c r="G1557" i="1"/>
  <c r="G1750" i="1"/>
  <c r="G1377" i="1"/>
  <c r="D1720" i="1"/>
  <c r="G1436" i="1"/>
  <c r="D390" i="1"/>
  <c r="D1737" i="1"/>
  <c r="G582" i="1"/>
  <c r="G581" i="1"/>
  <c r="D628" i="1"/>
  <c r="D568" i="1"/>
  <c r="G868" i="1"/>
  <c r="G1126" i="1"/>
  <c r="G1742" i="1"/>
  <c r="D127" i="1"/>
  <c r="G762" i="1"/>
  <c r="D1592" i="1"/>
  <c r="G1756" i="1"/>
  <c r="G1064" i="1"/>
  <c r="G205" i="1"/>
  <c r="G1652" i="1"/>
  <c r="D1515" i="1"/>
  <c r="D1319" i="1"/>
  <c r="D239" i="1"/>
  <c r="G630" i="1"/>
  <c r="G936" i="1"/>
  <c r="D831" i="1"/>
  <c r="D351" i="1"/>
  <c r="D1622" i="1"/>
  <c r="D637" i="1"/>
  <c r="D708" i="1"/>
  <c r="G1530" i="1"/>
  <c r="G518" i="1"/>
  <c r="G1566" i="1"/>
  <c r="D557" i="1"/>
  <c r="G1461" i="1"/>
  <c r="D1438" i="1"/>
  <c r="G1689" i="1"/>
  <c r="G535" i="1"/>
  <c r="G368" i="1"/>
  <c r="D734" i="1"/>
  <c r="D780" i="1"/>
  <c r="G1146" i="1"/>
  <c r="G1200" i="1"/>
  <c r="G867" i="1"/>
  <c r="D1334" i="1"/>
  <c r="G1048" i="1"/>
  <c r="G1232" i="1"/>
  <c r="D605" i="1"/>
  <c r="G931" i="1"/>
  <c r="D154" i="1"/>
  <c r="G1388" i="1"/>
  <c r="D1521" i="1"/>
  <c r="D61" i="1"/>
  <c r="D1141" i="1"/>
  <c r="D1107" i="1"/>
  <c r="G430" i="1"/>
  <c r="D274" i="1"/>
  <c r="G1180" i="1"/>
  <c r="D391" i="1"/>
  <c r="G928" i="1"/>
  <c r="D1541" i="1"/>
  <c r="G1065" i="1"/>
  <c r="G1285" i="1"/>
  <c r="G1117" i="1"/>
  <c r="G1404" i="1"/>
  <c r="G1524" i="1"/>
  <c r="G73" i="1"/>
  <c r="D849" i="1"/>
  <c r="D609" i="1"/>
  <c r="D482" i="1"/>
  <c r="D285" i="1"/>
  <c r="D432" i="1"/>
  <c r="G357" i="1"/>
  <c r="D1659" i="1"/>
  <c r="D160" i="1"/>
  <c r="G1318" i="1"/>
  <c r="D783" i="1"/>
  <c r="D126" i="1"/>
  <c r="D601" i="1"/>
  <c r="G1052" i="1"/>
  <c r="D872" i="1"/>
  <c r="G685" i="1"/>
  <c r="G693" i="1"/>
  <c r="G348" i="1"/>
  <c r="D1170" i="1"/>
  <c r="G1628" i="1"/>
  <c r="G1206" i="1"/>
  <c r="G606" i="1"/>
  <c r="G301" i="1"/>
  <c r="G179" i="1"/>
  <c r="D1042" i="1"/>
  <c r="D1690" i="1"/>
  <c r="D530" i="1"/>
  <c r="G1603" i="1"/>
  <c r="G1525" i="1"/>
  <c r="D1414" i="1"/>
  <c r="G313" i="1"/>
  <c r="G1358" i="1"/>
  <c r="D912" i="1"/>
  <c r="D1056" i="1"/>
  <c r="G1408" i="1"/>
  <c r="G56" i="1"/>
  <c r="G937" i="1"/>
  <c r="G130" i="1"/>
  <c r="G1691" i="1"/>
  <c r="D1051" i="1"/>
  <c r="G700" i="1"/>
  <c r="D417" i="1"/>
  <c r="G1429" i="1"/>
  <c r="G1313" i="1"/>
  <c r="D1631" i="1"/>
  <c r="D393" i="1"/>
  <c r="G74" i="1"/>
  <c r="D1177" i="1"/>
  <c r="D1135" i="1"/>
  <c r="D827" i="1"/>
  <c r="G1007" i="1"/>
  <c r="G1740" i="1"/>
  <c r="G1532" i="1"/>
  <c r="D1351" i="1"/>
  <c r="G1129" i="1"/>
  <c r="G595" i="1"/>
  <c r="G577" i="1"/>
  <c r="D665" i="1"/>
  <c r="D1022" i="1"/>
  <c r="G1496" i="1"/>
  <c r="G607" i="1"/>
  <c r="G923" i="1"/>
  <c r="D662" i="1"/>
  <c r="G1297" i="1"/>
  <c r="D1428" i="1"/>
  <c r="G1438" i="1"/>
  <c r="D1565" i="1"/>
  <c r="D271" i="1"/>
  <c r="G888" i="1"/>
  <c r="D809" i="1"/>
  <c r="G68" i="1"/>
  <c r="G1748" i="1"/>
  <c r="D1504" i="1"/>
  <c r="D836" i="1"/>
  <c r="G656" i="1"/>
  <c r="D1050" i="1"/>
  <c r="D1553" i="1"/>
  <c r="D844" i="1"/>
  <c r="D525" i="1"/>
  <c r="D689" i="1"/>
  <c r="D683" i="1"/>
  <c r="G984" i="1"/>
  <c r="D1610" i="1"/>
  <c r="D1328" i="1"/>
  <c r="D1570" i="1"/>
  <c r="G1341" i="1"/>
  <c r="D1350" i="1"/>
  <c r="G1620" i="1"/>
  <c r="D646" i="1"/>
  <c r="G1533" i="1"/>
  <c r="D1149" i="1"/>
  <c r="G202" i="1"/>
  <c r="D1373" i="1"/>
  <c r="G704" i="1"/>
  <c r="D728" i="1"/>
  <c r="G482" i="1"/>
  <c r="G1314" i="1"/>
  <c r="G1092" i="1"/>
  <c r="G1162" i="1"/>
  <c r="D1667" i="1"/>
  <c r="D404" i="1"/>
  <c r="D1194" i="1"/>
  <c r="D1400" i="1"/>
  <c r="G667" i="1"/>
  <c r="D1609" i="1"/>
  <c r="D940" i="1"/>
  <c r="G307" i="1"/>
  <c r="D1595" i="1"/>
  <c r="D1049" i="1"/>
  <c r="D567" i="1"/>
  <c r="G1083" i="1"/>
  <c r="G1026" i="1"/>
  <c r="G797" i="1"/>
  <c r="G806" i="1"/>
  <c r="G204" i="1"/>
  <c r="D107" i="1"/>
  <c r="G1414" i="1"/>
  <c r="D1450" i="1"/>
  <c r="D1434" i="1"/>
  <c r="G435" i="1"/>
  <c r="G222" i="1"/>
  <c r="G84" i="1"/>
  <c r="D1522" i="1"/>
  <c r="D32" i="1"/>
  <c r="D96" i="1"/>
  <c r="D282" i="1"/>
  <c r="G1636" i="1"/>
  <c r="G748" i="1"/>
  <c r="G1296" i="1"/>
  <c r="G160" i="1"/>
  <c r="G338" i="1"/>
  <c r="D725" i="1"/>
  <c r="D907" i="1"/>
  <c r="D344" i="1"/>
  <c r="G1039" i="1"/>
  <c r="G349" i="1"/>
  <c r="G1307" i="1"/>
  <c r="G42" i="1"/>
  <c r="D1645" i="1"/>
  <c r="G1045" i="1"/>
  <c r="D1406" i="1"/>
  <c r="D165" i="1"/>
  <c r="G1156" i="1"/>
  <c r="G918" i="1"/>
  <c r="G487" i="1"/>
  <c r="G1037" i="1"/>
  <c r="G617" i="1"/>
  <c r="D1674" i="1"/>
  <c r="G846" i="1"/>
  <c r="D293" i="1"/>
  <c r="G1328" i="1"/>
  <c r="D232" i="1"/>
  <c r="G168" i="1"/>
  <c r="G1349" i="1"/>
  <c r="D796" i="1"/>
  <c r="G403" i="1"/>
  <c r="D1109" i="1"/>
  <c r="D594" i="1"/>
  <c r="G784" i="1"/>
  <c r="G510" i="1"/>
  <c r="D1407" i="1"/>
  <c r="G954" i="1"/>
  <c r="D357" i="1"/>
  <c r="D1128" i="1"/>
  <c r="D1335" i="1"/>
  <c r="D727" i="1"/>
  <c r="G612" i="1"/>
  <c r="D625" i="1"/>
  <c r="G157" i="1"/>
  <c r="G1406" i="1"/>
  <c r="D762" i="1"/>
  <c r="D341" i="1"/>
  <c r="D1442" i="1"/>
  <c r="D1282" i="1"/>
  <c r="D964" i="1"/>
  <c r="D686" i="1"/>
  <c r="G658" i="1"/>
  <c r="D30" i="1"/>
  <c r="G1443" i="1"/>
  <c r="D1614" i="1"/>
  <c r="D1245" i="1"/>
  <c r="D1569" i="1"/>
  <c r="G479" i="1"/>
  <c r="D1340" i="1"/>
  <c r="G63" i="1"/>
  <c r="D1100" i="1"/>
  <c r="D6" i="1"/>
  <c r="G893" i="1"/>
  <c r="G1081" i="1"/>
  <c r="G729" i="1"/>
  <c r="D328" i="1"/>
  <c r="G588" i="1"/>
  <c r="D1375" i="1"/>
  <c r="D305" i="1"/>
  <c r="D1283" i="1"/>
  <c r="D1285" i="1"/>
  <c r="G1121" i="1"/>
  <c r="D1360" i="1"/>
  <c r="D73" i="1"/>
  <c r="D1043" i="1"/>
  <c r="D720" i="1"/>
  <c r="D1258" i="1"/>
  <c r="D1688" i="1"/>
  <c r="G101" i="1"/>
  <c r="G1345" i="1"/>
  <c r="G21" i="1"/>
  <c r="D1115" i="1"/>
  <c r="G242" i="1"/>
  <c r="D1207" i="1"/>
  <c r="D952" i="1"/>
  <c r="D959" i="1"/>
  <c r="G1507" i="1"/>
  <c r="G1655" i="1"/>
  <c r="D108" i="1"/>
  <c r="D109" i="1"/>
  <c r="D1594" i="1"/>
  <c r="D1060" i="1"/>
  <c r="D563" i="1"/>
  <c r="G86" i="1"/>
  <c r="G279" i="1"/>
  <c r="G1188" i="1"/>
  <c r="D65" i="1"/>
  <c r="D536" i="1"/>
  <c r="D1419" i="1"/>
  <c r="D1632" i="1"/>
  <c r="D1542" i="1"/>
  <c r="G413" i="1"/>
  <c r="D226" i="1"/>
  <c r="D636" i="1"/>
  <c r="D1219" i="1"/>
  <c r="G1713" i="1"/>
  <c r="G1029" i="1"/>
  <c r="G789" i="1"/>
  <c r="G1038" i="1"/>
  <c r="G1157" i="1"/>
  <c r="G1747" i="1"/>
  <c r="D1656" i="1"/>
  <c r="G241" i="1"/>
  <c r="G208" i="1"/>
  <c r="D1329" i="1"/>
  <c r="D1591" i="1"/>
  <c r="G401" i="1"/>
  <c r="G441" i="1"/>
  <c r="G228" i="1"/>
  <c r="G1693" i="1"/>
  <c r="D1699" i="1"/>
  <c r="G542" i="1"/>
  <c r="D1555" i="1"/>
  <c r="G1564" i="1"/>
  <c r="G1034" i="1"/>
  <c r="G70" i="1"/>
  <c r="D1178" i="1"/>
  <c r="G964" i="1"/>
  <c r="D917" i="1"/>
  <c r="G1542" i="1"/>
  <c r="G634" i="1"/>
  <c r="G790" i="1"/>
  <c r="G40" i="1"/>
  <c r="D1483" i="1"/>
  <c r="G254" i="1"/>
  <c r="G408" i="1"/>
  <c r="D1527" i="1"/>
  <c r="D913" i="1"/>
  <c r="D272" i="1"/>
  <c r="D643" i="1"/>
  <c r="G485" i="1"/>
  <c r="G1205" i="1"/>
  <c r="G1594" i="1"/>
  <c r="D1485" i="1"/>
  <c r="G8" i="2"/>
  <c r="D1233" i="1"/>
  <c r="D771" i="1"/>
  <c r="D1333" i="1"/>
  <c r="D1033" i="1"/>
  <c r="D397" i="1"/>
  <c r="G1722" i="1"/>
  <c r="G1229" i="1"/>
  <c r="D1722" i="1"/>
  <c r="D668" i="1"/>
  <c r="D276" i="1"/>
  <c r="G97" i="1"/>
  <c r="G498" i="1"/>
  <c r="G1659" i="1"/>
  <c r="G852" i="1"/>
  <c r="G1476" i="1"/>
  <c r="G361" i="1"/>
  <c r="G144" i="1"/>
  <c r="D544" i="1"/>
  <c r="G81" i="1"/>
  <c r="D981" i="1"/>
  <c r="G690" i="1"/>
  <c r="D1297" i="1"/>
  <c r="D386" i="1"/>
  <c r="G847" i="1"/>
  <c r="D299" i="1"/>
  <c r="D985" i="1"/>
  <c r="D414" i="1"/>
  <c r="D1754" i="1"/>
  <c r="G1588" i="1"/>
  <c r="D591" i="1"/>
  <c r="G538" i="1"/>
  <c r="G49" i="1"/>
  <c r="D853" i="1"/>
  <c r="G890" i="1"/>
  <c r="D578" i="1"/>
  <c r="D254" i="1"/>
  <c r="G1463" i="1"/>
  <c r="G1753" i="1"/>
  <c r="D899" i="1"/>
  <c r="G400" i="1"/>
  <c r="D312" i="1"/>
  <c r="G1089" i="1"/>
  <c r="D429" i="1"/>
  <c r="G1573" i="1"/>
  <c r="D101" i="1"/>
  <c r="D585" i="1"/>
  <c r="G1238" i="1"/>
  <c r="G1520" i="1"/>
  <c r="G929" i="1"/>
  <c r="G898" i="1"/>
  <c r="G350" i="1"/>
  <c r="G5" i="1"/>
  <c r="G379" i="1"/>
  <c r="D297" i="1"/>
  <c r="G1306" i="1"/>
  <c r="G47" i="1"/>
  <c r="G1610" i="1"/>
  <c r="D1220" i="1"/>
  <c r="D1365" i="1"/>
  <c r="G1058" i="1"/>
  <c r="D139" i="1"/>
  <c r="D871" i="1"/>
  <c r="G67" i="1"/>
  <c r="G332" i="1"/>
  <c r="D476" i="1"/>
  <c r="D1671" i="1"/>
  <c r="D1143" i="1"/>
  <c r="G153" i="1"/>
  <c r="D1305" i="1"/>
  <c r="G1168" i="1"/>
  <c r="D1278" i="1"/>
  <c r="G1562" i="1"/>
  <c r="D1393" i="1"/>
  <c r="G1099" i="1"/>
  <c r="D100" i="1"/>
  <c r="D823" i="1"/>
  <c r="G713" i="1"/>
  <c r="G1020" i="1"/>
  <c r="G1516" i="1"/>
  <c r="G1330" i="1"/>
  <c r="D520" i="1"/>
  <c r="D1581" i="1"/>
  <c r="G726" i="1"/>
  <c r="G1718" i="1"/>
  <c r="D497" i="1"/>
  <c r="D607" i="1"/>
  <c r="G882" i="1"/>
  <c r="G1085" i="1"/>
  <c r="D1387" i="1"/>
  <c r="G751" i="1"/>
  <c r="D211" i="1"/>
  <c r="D1639" i="1"/>
  <c r="G1347" i="1"/>
  <c r="G1044" i="1"/>
  <c r="D1473" i="1"/>
  <c r="D647" i="1"/>
  <c r="G1224" i="1"/>
  <c r="G20" i="1"/>
  <c r="D338" i="1"/>
  <c r="G1730" i="1"/>
  <c r="G316" i="1"/>
  <c r="G674" i="1"/>
  <c r="G705" i="1"/>
  <c r="D449" i="1"/>
  <c r="G1728" i="1"/>
  <c r="D1016" i="1"/>
  <c r="K7" i="1"/>
  <c r="D1451" i="1"/>
  <c r="G371" i="1"/>
  <c r="G62" i="1"/>
  <c r="G275" i="1"/>
  <c r="G17" i="1"/>
  <c r="G737" i="1"/>
  <c r="D148" i="1"/>
  <c r="G626" i="1"/>
  <c r="G857" i="1"/>
  <c r="D579" i="1"/>
  <c r="D166" i="1"/>
  <c r="G1664" i="1"/>
  <c r="D1254" i="1"/>
  <c r="D1348" i="1"/>
  <c r="D1093" i="1"/>
  <c r="D178" i="1"/>
  <c r="D1582" i="1"/>
  <c r="D1706" i="1"/>
  <c r="D434" i="1"/>
  <c r="D768" i="1"/>
  <c r="D1386" i="1"/>
  <c r="G35" i="1"/>
  <c r="G733" i="1"/>
  <c r="D124" i="1"/>
  <c r="G178" i="1"/>
  <c r="D916" i="1"/>
  <c r="G905" i="1"/>
  <c r="D865" i="1"/>
  <c r="D14" i="1"/>
  <c r="G19" i="1"/>
  <c r="D1164" i="1"/>
  <c r="D506" i="1"/>
  <c r="D1685" i="1"/>
  <c r="G1495" i="1"/>
  <c r="G747" i="1"/>
  <c r="G95" i="1"/>
  <c r="G1477" i="1"/>
  <c r="D131" i="1"/>
  <c r="G1215" i="1"/>
  <c r="G290" i="1"/>
  <c r="G456" i="1"/>
  <c r="G504" i="1"/>
  <c r="G1709" i="1"/>
  <c r="D758" i="1"/>
  <c r="D915" i="1"/>
  <c r="G1724" i="1"/>
  <c r="G1716" i="1"/>
  <c r="D1755" i="1"/>
  <c r="D718" i="1"/>
  <c r="G309" i="1"/>
  <c r="D489" i="1"/>
  <c r="G840" i="1"/>
  <c r="G436" i="1"/>
  <c r="G911" i="1"/>
  <c r="G1040" i="1"/>
  <c r="D114" i="1"/>
  <c r="D204" i="1"/>
  <c r="D179" i="1"/>
  <c r="D447" i="1"/>
  <c r="G940" i="1"/>
  <c r="D972" i="1"/>
  <c r="G58" i="1"/>
  <c r="G699" i="1"/>
  <c r="G730" i="1"/>
  <c r="D4" i="7"/>
  <c r="D492" i="1"/>
  <c r="G763" i="1"/>
  <c r="G710" i="1"/>
  <c r="G324" i="1"/>
  <c r="D887" i="1"/>
  <c r="G771" i="1"/>
  <c r="D1525" i="1"/>
  <c r="D1215" i="1"/>
  <c r="G716" i="1"/>
  <c r="D1306" i="1"/>
  <c r="G739" i="1"/>
  <c r="G54" i="1"/>
  <c r="D1301" i="1"/>
  <c r="D4" i="1"/>
  <c r="D813" i="1"/>
  <c r="D1157" i="1"/>
  <c r="G881" i="1"/>
  <c r="D719" i="1"/>
  <c r="D438" i="1"/>
  <c r="D1287" i="1"/>
  <c r="G1654" i="1"/>
  <c r="G1571" i="1"/>
  <c r="D369" i="1"/>
  <c r="G1005" i="1"/>
  <c r="G367" i="1"/>
  <c r="D984" i="1"/>
  <c r="D1061" i="1"/>
  <c r="D504" i="1"/>
  <c r="G229" i="1"/>
  <c r="G1694" i="1"/>
  <c r="G1576" i="1"/>
  <c r="D1276" i="1"/>
  <c r="G1734" i="1"/>
  <c r="G1204" i="1"/>
  <c r="D1017" i="1"/>
  <c r="G736" i="1"/>
  <c r="G1419" i="1"/>
  <c r="D1454" i="1"/>
  <c r="G552" i="1"/>
  <c r="G237" i="1"/>
  <c r="G165" i="1"/>
  <c r="D202" i="1"/>
  <c r="D1513" i="1"/>
  <c r="D1192" i="1"/>
  <c r="D1136" i="1"/>
  <c r="G908" i="1"/>
  <c r="D1385" i="1"/>
  <c r="G1231" i="1"/>
  <c r="G474" i="1"/>
  <c r="D787" i="1"/>
  <c r="D730" i="1"/>
  <c r="D210" i="1"/>
  <c r="D1580" i="1"/>
  <c r="D518" i="1"/>
  <c r="G1635" i="1"/>
  <c r="D1131" i="1"/>
  <c r="G1259" i="1"/>
  <c r="G647" i="1"/>
  <c r="G1498" i="1"/>
  <c r="G848" i="1"/>
  <c r="G1326" i="1"/>
  <c r="D1092" i="1"/>
  <c r="G788" i="1"/>
  <c r="G133" i="1"/>
  <c r="D205" i="1"/>
  <c r="G735" i="1"/>
  <c r="D1474" i="1"/>
  <c r="G186" i="1"/>
  <c r="D421" i="1"/>
  <c r="G837" i="1"/>
  <c r="D1332" i="1"/>
  <c r="D541" i="1"/>
  <c r="G1648" i="1"/>
  <c r="G203" i="1"/>
  <c r="G835" i="1"/>
  <c r="G1700" i="1"/>
  <c r="G551" i="1"/>
  <c r="D1268" i="1"/>
  <c r="G1160" i="1"/>
  <c r="D694" i="1"/>
  <c r="G676" i="1"/>
  <c r="D1479" i="1"/>
  <c r="G1574" i="1"/>
  <c r="D997" i="1"/>
  <c r="D1623" i="1"/>
  <c r="D1620" i="1"/>
  <c r="D1413" i="1"/>
  <c r="G808" i="1"/>
  <c r="D1463" i="1"/>
  <c r="D676" i="1"/>
  <c r="G1262" i="1"/>
  <c r="D815" i="1"/>
  <c r="D1072" i="1"/>
  <c r="D800" i="1"/>
  <c r="G855" i="1"/>
  <c r="D331" i="1"/>
  <c r="D484" i="1"/>
  <c r="D876" i="1"/>
  <c r="D1572" i="1"/>
  <c r="G779" i="1"/>
  <c r="D1480" i="1"/>
  <c r="G906" i="1"/>
  <c r="D1492" i="1"/>
  <c r="G180" i="1"/>
  <c r="G8" i="1"/>
  <c r="G1701" i="1"/>
  <c r="D503" i="1"/>
  <c r="D1225" i="1"/>
  <c r="D1101" i="1"/>
  <c r="G182" i="1"/>
  <c r="G569" i="1"/>
  <c r="D1600" i="1"/>
  <c r="G283" i="1"/>
  <c r="D750" i="1"/>
  <c r="D1161" i="1"/>
  <c r="G134" i="1"/>
  <c r="G598" i="1"/>
  <c r="D1418" i="1"/>
  <c r="D152" i="1"/>
  <c r="D863" i="1"/>
  <c r="D951" i="1"/>
  <c r="D1573" i="1"/>
  <c r="D908" i="1"/>
  <c r="G470" i="1"/>
  <c r="G1337" i="1"/>
  <c r="G1375" i="1"/>
  <c r="D339" i="1"/>
  <c r="G980" i="1"/>
  <c r="D125" i="1"/>
  <c r="G863" i="1"/>
  <c r="G508" i="1"/>
  <c r="G1504" i="1"/>
  <c r="D1355" i="1"/>
  <c r="G185" i="1"/>
  <c r="G1428" i="1"/>
  <c r="G668" i="1"/>
  <c r="G839" i="1"/>
  <c r="D1494" i="1"/>
  <c r="G426" i="1"/>
  <c r="G1186" i="1"/>
  <c r="G825" i="1"/>
  <c r="G375" i="1"/>
  <c r="D897" i="1"/>
  <c r="D483" i="1"/>
  <c r="D147" i="1"/>
  <c r="G16" i="1"/>
  <c r="D461" i="1"/>
  <c r="D723" i="1"/>
  <c r="D1034" i="1"/>
  <c r="D419" i="1"/>
  <c r="D1410" i="1"/>
  <c r="G244" i="1"/>
  <c r="D1621" i="1"/>
  <c r="D307" i="1"/>
  <c r="D140" i="1"/>
  <c r="G199" i="1"/>
  <c r="G3" i="1"/>
  <c r="G354" i="1"/>
  <c r="G578" i="1"/>
  <c r="G91" i="1"/>
  <c r="D230" i="1"/>
  <c r="D261" i="1"/>
  <c r="D1404" i="1"/>
  <c r="D444" i="1"/>
  <c r="D1598" i="1"/>
  <c r="G82" i="1"/>
  <c r="D1126" i="1"/>
  <c r="D1073" i="1"/>
  <c r="D921" i="1"/>
  <c r="D861" i="1"/>
  <c r="D757" i="1"/>
  <c r="G1702" i="1"/>
  <c r="D413" i="1"/>
  <c r="G1677" i="1"/>
  <c r="D1548" i="1"/>
  <c r="G128" i="1"/>
  <c r="D968" i="1"/>
  <c r="D1584" i="1"/>
  <c r="D1530" i="1"/>
  <c r="D641" i="1"/>
  <c r="D1366" i="1"/>
  <c r="G503" i="1"/>
  <c r="G1515" i="1"/>
  <c r="D1732" i="1"/>
  <c r="D1308" i="1"/>
  <c r="G1759" i="1"/>
  <c r="G650" i="1"/>
  <c r="D1654" i="1"/>
  <c r="D325" i="1"/>
  <c r="G111" i="1"/>
  <c r="D994" i="1"/>
  <c r="D1057" i="1"/>
  <c r="G691" i="1"/>
  <c r="D306" i="1"/>
  <c r="D1370" i="1"/>
  <c r="G396" i="1"/>
  <c r="G192" i="1"/>
  <c r="G943" i="1"/>
  <c r="D642" i="1"/>
  <c r="G1323" i="1"/>
  <c r="G1519" i="1"/>
  <c r="G259" i="1"/>
  <c r="G1196" i="1"/>
  <c r="D209" i="1"/>
  <c r="D656" i="1"/>
  <c r="G924" i="1"/>
  <c r="D1013" i="1"/>
  <c r="G1325" i="1"/>
  <c r="D242" i="1"/>
  <c r="D1545" i="1"/>
  <c r="D237" i="1"/>
  <c r="G500" i="1"/>
  <c r="D651" i="1"/>
  <c r="D1682" i="1"/>
  <c r="G1539" i="1"/>
  <c r="G293" i="1"/>
  <c r="G1708" i="1"/>
  <c r="G198" i="1"/>
  <c r="G255" i="1"/>
  <c r="G1016" i="1"/>
  <c r="D320" i="1"/>
  <c r="D1712" i="1"/>
  <c r="D43" i="1"/>
  <c r="G1411" i="1"/>
  <c r="G1137" i="1"/>
  <c r="G92" i="1"/>
  <c r="D1586" i="1"/>
  <c r="D818" i="1"/>
  <c r="D1084" i="1"/>
  <c r="D1635" i="1"/>
  <c r="G1169" i="1"/>
  <c r="D218" i="1"/>
  <c r="D1658" i="1"/>
  <c r="D223" i="1"/>
  <c r="G670" i="1"/>
  <c r="G109" i="1"/>
  <c r="D1471" i="1"/>
  <c r="D1122" i="1"/>
  <c r="D105" i="1"/>
  <c r="D1261" i="1"/>
  <c r="D564" i="1"/>
  <c r="D654" i="1"/>
  <c r="G1283" i="1"/>
  <c r="D824" i="1"/>
  <c r="G1023" i="1"/>
  <c r="D879" i="1"/>
  <c r="D269" i="1"/>
  <c r="G696" i="1"/>
  <c r="D1518" i="1"/>
  <c r="D989" i="1"/>
  <c r="G1431" i="1"/>
  <c r="G64" i="1"/>
  <c r="G810" i="1"/>
  <c r="D1455" i="1"/>
  <c r="D1281" i="1"/>
  <c r="G1673" i="1"/>
  <c r="D909" i="1"/>
  <c r="D785" i="1"/>
  <c r="G457" i="1"/>
  <c r="D1120" i="1"/>
  <c r="G132" i="1"/>
  <c r="D186" i="1"/>
  <c r="D855" i="1"/>
  <c r="G537" i="1"/>
  <c r="G686" i="1"/>
  <c r="G1559" i="1"/>
  <c r="D1296" i="1"/>
  <c r="D1179" i="1"/>
  <c r="D41" i="1"/>
  <c r="D562" i="1"/>
  <c r="G43" i="1"/>
  <c r="G1191" i="1"/>
  <c r="D775" i="1"/>
  <c r="D252" i="1"/>
  <c r="G407" i="1"/>
  <c r="G491" i="1"/>
  <c r="D308" i="1"/>
  <c r="D1064" i="1"/>
  <c r="D1596" i="1"/>
  <c r="G915" i="1"/>
  <c r="G1102" i="1"/>
  <c r="G774" i="1"/>
  <c r="D1689" i="1"/>
  <c r="D418" i="1"/>
  <c r="G1378" i="1"/>
  <c r="D1528" i="1"/>
  <c r="G1087" i="1"/>
  <c r="D474" i="1"/>
  <c r="G455" i="1"/>
  <c r="G1216" i="1"/>
  <c r="D1081" i="1"/>
  <c r="G514" i="1"/>
  <c r="G635" i="1"/>
  <c r="D120" i="1"/>
  <c r="D983" i="1"/>
  <c r="D884" i="1"/>
  <c r="G845" i="1"/>
  <c r="G1459" i="1"/>
  <c r="D755" i="1"/>
  <c r="D1032" i="1"/>
  <c r="D356" i="1"/>
  <c r="D378" i="1"/>
  <c r="G71" i="1"/>
  <c r="G416" i="1"/>
  <c r="D1182" i="1"/>
  <c r="D1715" i="1"/>
  <c r="D776" i="1"/>
  <c r="D618" i="1"/>
  <c r="D235" i="1"/>
  <c r="G1161" i="1"/>
  <c r="D1216" i="1"/>
  <c r="G992" i="1"/>
  <c r="D1112" i="1"/>
  <c r="G190" i="1"/>
  <c r="G955" i="1"/>
  <c r="G38" i="1"/>
  <c r="G1423" i="1"/>
  <c r="D602" i="1"/>
  <c r="G1719" i="1"/>
  <c r="D1204" i="1"/>
  <c r="G999" i="1"/>
  <c r="G433" i="1"/>
  <c r="G1400" i="1"/>
  <c r="G1637" i="1"/>
  <c r="D1459" i="1"/>
  <c r="D396" i="1"/>
  <c r="G1458" i="1"/>
  <c r="D882" i="1"/>
  <c r="D146" i="1"/>
  <c r="D1512" i="1"/>
  <c r="D1441" i="1"/>
  <c r="G1389" i="1"/>
  <c r="G593" i="1"/>
  <c r="G1599" i="1"/>
  <c r="G573" i="1"/>
  <c r="D491" i="1"/>
  <c r="G22" i="1"/>
  <c r="D10" i="1"/>
  <c r="G1253" i="1"/>
  <c r="G1097" i="1"/>
  <c r="D789" i="1"/>
  <c r="G464" i="1"/>
  <c r="G389" i="1"/>
  <c r="G223" i="1"/>
  <c r="G601" i="1"/>
  <c r="G1227" i="1"/>
  <c r="G409" i="1"/>
  <c r="D862" i="1"/>
  <c r="D598" i="1"/>
  <c r="G66" i="1"/>
  <c r="G1537" i="1"/>
  <c r="D398" i="1"/>
  <c r="D1379" i="1"/>
  <c r="D995" i="1"/>
  <c r="G900" i="1"/>
  <c r="G1074" i="1"/>
  <c r="G330" i="1"/>
  <c r="D1082" i="1"/>
  <c r="G236" i="1"/>
  <c r="G1721" i="1"/>
  <c r="D481" i="1"/>
  <c r="G802" i="1"/>
  <c r="G754" i="1"/>
  <c r="D1125" i="1"/>
  <c r="G1624" i="1"/>
  <c r="G597" i="1"/>
  <c r="D956" i="1"/>
  <c r="D767" i="1"/>
  <c r="D1637" i="1"/>
  <c r="G1167" i="1"/>
  <c r="D246" i="1"/>
  <c r="D918" i="1"/>
  <c r="D463" i="1"/>
  <c r="D346" i="1"/>
  <c r="D1509" i="1"/>
  <c r="D1424" i="1"/>
  <c r="G1278" i="1"/>
  <c r="D545" i="1"/>
  <c r="G243" i="1"/>
  <c r="D1269" i="1"/>
  <c r="G649" i="1"/>
  <c r="D1075" i="1"/>
  <c r="G887" i="1"/>
  <c r="G239" i="1"/>
  <c r="D228" i="1"/>
  <c r="D1549" i="1"/>
  <c r="D91" i="1"/>
  <c r="G660" i="1"/>
  <c r="D233" i="1"/>
  <c r="G1228" i="1"/>
  <c r="D472" i="1"/>
  <c r="G1211" i="1"/>
  <c r="G347" i="1"/>
  <c r="D1728" i="1"/>
  <c r="D198" i="1"/>
  <c r="G1704" i="1"/>
  <c r="G226" i="1"/>
  <c r="G174" i="1"/>
  <c r="G472" i="1"/>
  <c r="G773" i="1"/>
  <c r="G318" i="1"/>
  <c r="D1606" i="1"/>
  <c r="D1067" i="1"/>
  <c r="G227" i="1"/>
  <c r="D1496" i="1"/>
  <c r="D1502" i="1"/>
  <c r="G639" i="1"/>
  <c r="D988" i="1"/>
  <c r="D290" i="1"/>
  <c r="G799" i="1"/>
  <c r="D153" i="1"/>
  <c r="G1174" i="1"/>
  <c r="D1213" i="1"/>
  <c r="G585" i="1"/>
  <c r="G638" i="1"/>
  <c r="D289" i="1"/>
  <c r="G1489" i="1"/>
  <c r="D1653" i="1"/>
  <c r="G1050" i="1"/>
  <c r="D1405" i="1"/>
  <c r="G781" i="1"/>
  <c r="G1333" i="1"/>
  <c r="D74" i="1"/>
  <c r="G914" i="1"/>
  <c r="G1452" i="1"/>
  <c r="D1309" i="1"/>
  <c r="D347" i="1"/>
  <c r="G828" i="1"/>
  <c r="G386" i="1"/>
  <c r="D868" i="1"/>
  <c r="G1466" i="1"/>
  <c r="G278" i="1"/>
  <c r="G903" i="1"/>
  <c r="G844" i="1"/>
  <c r="G1445" i="1"/>
  <c r="G235" i="1"/>
  <c r="D1491" i="1"/>
  <c r="G629" i="1"/>
  <c r="G1343" i="1"/>
  <c r="D1193" i="1"/>
  <c r="D1047" i="1"/>
  <c r="G756" i="1"/>
  <c r="D1516" i="1"/>
  <c r="D788" i="1"/>
  <c r="D826" i="1"/>
  <c r="G879" i="1"/>
  <c r="D1321" i="1"/>
  <c r="D869" i="1"/>
  <c r="G663" i="1"/>
  <c r="D1273" i="1"/>
  <c r="D1055" i="1"/>
  <c r="G1483" i="1"/>
  <c r="G1015" i="1"/>
  <c r="G387" i="1"/>
  <c r="G44" i="1"/>
  <c r="G1755" i="1"/>
  <c r="D982" i="1"/>
  <c r="D521" i="1"/>
  <c r="G1741" i="1"/>
  <c r="G1570" i="1"/>
  <c r="G1521" i="1"/>
  <c r="G41" i="1"/>
  <c r="D875" i="1"/>
  <c r="D87" i="1"/>
  <c r="G860" i="1"/>
  <c r="G366" i="1"/>
  <c r="D437" i="1"/>
  <c r="D999" i="1"/>
  <c r="G938" i="1"/>
  <c r="G1120" i="1"/>
  <c r="D1347" i="1"/>
  <c r="G896" i="1"/>
  <c r="D1538" i="1"/>
  <c r="D1701" i="1"/>
  <c r="D592" i="1"/>
  <c r="G1650" i="1"/>
  <c r="G391" i="1"/>
  <c r="D1041" i="1"/>
  <c r="G271" i="1"/>
  <c r="D744" i="1"/>
  <c r="G1100" i="1"/>
  <c r="G402" i="1"/>
  <c r="D371" i="1"/>
  <c r="G245" i="1"/>
  <c r="G951" i="1"/>
  <c r="G1538" i="1"/>
  <c r="D129" i="1"/>
  <c r="G1091" i="1"/>
  <c r="D283" i="1"/>
  <c r="D754" i="1"/>
  <c r="D435" i="1"/>
  <c r="D740" i="1"/>
  <c r="D901" i="1"/>
  <c r="D1085" i="1"/>
  <c r="G1176" i="1"/>
  <c r="G824" i="1"/>
  <c r="D1679" i="1"/>
  <c r="D60" i="1"/>
  <c r="G1493" i="1"/>
  <c r="G1110" i="1"/>
  <c r="G98" i="1"/>
  <c r="D877" i="1"/>
  <c r="D117" i="1"/>
  <c r="G1548" i="1"/>
  <c r="G1393" i="1"/>
  <c r="D375" i="1"/>
  <c r="G1311" i="1"/>
  <c r="D385" i="1"/>
  <c r="G1501" i="1"/>
  <c r="G507" i="1"/>
  <c r="D588" i="1"/>
  <c r="D249" i="1"/>
  <c r="G1014" i="1"/>
  <c r="D566" i="1"/>
  <c r="D1253" i="1"/>
  <c r="D1006" i="1"/>
  <c r="G462" i="1"/>
  <c r="D1304" i="1"/>
  <c r="D1286" i="1"/>
  <c r="G787" i="1"/>
  <c r="D1104" i="1"/>
  <c r="D188" i="1"/>
  <c r="G1130" i="1"/>
  <c r="G759" i="1"/>
  <c r="D1415" i="1"/>
  <c r="D220" i="1"/>
  <c r="G1124" i="1"/>
  <c r="D255" i="1"/>
  <c r="D1520" i="1"/>
  <c r="D938" i="1"/>
  <c r="G1175" i="1"/>
  <c r="G1220" i="1"/>
  <c r="D1693" i="1"/>
  <c r="D782" i="1"/>
  <c r="G780" i="1"/>
  <c r="D12" i="1"/>
  <c r="D436" i="1"/>
  <c r="D136" i="1"/>
  <c r="D1733" i="1"/>
  <c r="D1757" i="1"/>
  <c r="D559" i="1"/>
  <c r="G798" i="1"/>
  <c r="D690" i="1"/>
  <c r="G1616" i="1"/>
  <c r="D976" i="1"/>
  <c r="G1634" i="1"/>
  <c r="D478" i="1"/>
  <c r="D157" i="1"/>
  <c r="D599" i="1"/>
  <c r="D450" i="1"/>
  <c r="D741" i="1"/>
  <c r="D1657" i="1"/>
  <c r="D507" i="1"/>
  <c r="G548" i="1"/>
  <c r="G1715" i="1"/>
  <c r="G1344" i="1"/>
  <c r="G103" i="1"/>
  <c r="G1661" i="1"/>
  <c r="D1677" i="1"/>
  <c r="D932" i="1"/>
  <c r="G1401" i="1"/>
  <c r="D1025" i="1"/>
  <c r="G281" i="1"/>
  <c r="G1359" i="1"/>
  <c r="G1287" i="1"/>
  <c r="D1123" i="1"/>
  <c r="D1382" i="1"/>
  <c r="G1511" i="1"/>
  <c r="D440" i="1"/>
  <c r="G1151" i="1"/>
  <c r="D324" i="1"/>
  <c r="G768" i="1"/>
  <c r="D219" i="1"/>
  <c r="D1362" i="1"/>
  <c r="D34" i="1"/>
  <c r="G1004" i="1"/>
  <c r="G1626" i="1"/>
  <c r="G1584" i="1"/>
  <c r="D531" i="1"/>
  <c r="D141" i="1"/>
  <c r="D77" i="1"/>
  <c r="G1084" i="1"/>
  <c r="D1531" i="1"/>
  <c r="G899" i="1"/>
  <c r="D84" i="1"/>
  <c r="G1027" i="1"/>
  <c r="G162" i="1"/>
  <c r="G1743" i="1"/>
  <c r="D1423" i="1"/>
  <c r="G1518" i="1"/>
  <c r="G3" i="3"/>
  <c r="G1727" i="1"/>
  <c r="D300" i="1"/>
  <c r="G356" i="1"/>
  <c r="D1488" i="1"/>
  <c r="G1409" i="1"/>
  <c r="G325" i="1"/>
  <c r="G320" i="1"/>
  <c r="D402" i="1"/>
  <c r="G1735" i="1"/>
  <c r="D379" i="1"/>
  <c r="D1666" i="1"/>
  <c r="D533" i="1"/>
  <c r="D197" i="1"/>
  <c r="G1383" i="1"/>
  <c r="G513" i="1"/>
  <c r="D280" i="1"/>
  <c r="G1569" i="1"/>
  <c r="D1119" i="1"/>
  <c r="D539" i="1"/>
  <c r="G1398" i="1"/>
  <c r="D75" i="1"/>
  <c r="D380" i="1"/>
  <c r="G123" i="1"/>
  <c r="D1086" i="1"/>
  <c r="G230" i="1"/>
  <c r="G680" i="1"/>
  <c r="G1125" i="1"/>
  <c r="D144" i="1"/>
  <c r="G678" i="1"/>
  <c r="D1457" i="1"/>
  <c r="D138" i="1"/>
  <c r="G741" i="1"/>
  <c r="G7" i="1"/>
  <c r="G1164" i="1"/>
  <c r="G1522" i="1"/>
  <c r="D495" i="1"/>
  <c r="D3" i="7"/>
  <c r="D1481" i="1"/>
  <c r="D1372" i="1"/>
  <c r="G333" i="1"/>
  <c r="D977" i="1"/>
  <c r="G399" i="1"/>
  <c r="G849" i="1"/>
  <c r="D1612" i="1"/>
  <c r="D1472" i="1"/>
  <c r="D1432" i="1"/>
  <c r="G1432" i="1"/>
  <c r="G1471" i="1"/>
  <c r="D1445" i="1"/>
  <c r="G1077" i="1"/>
  <c r="D738" i="1"/>
  <c r="D1673" i="1"/>
  <c r="G794" i="1"/>
  <c r="G872" i="1"/>
  <c r="G528" i="1"/>
  <c r="G1113" i="1"/>
  <c r="G131" i="1"/>
  <c r="D1510" i="1"/>
  <c r="G1055" i="1"/>
  <c r="G1031" i="1"/>
  <c r="D1384" i="1"/>
  <c r="G1071" i="1"/>
  <c r="G662" i="1"/>
  <c r="D270" i="1"/>
  <c r="D499" i="1"/>
  <c r="G142" i="1"/>
  <c r="D1040" i="1"/>
  <c r="D1487" i="1"/>
  <c r="D919" i="1"/>
  <c r="D1731" i="1"/>
  <c r="G978" i="1"/>
  <c r="G424" i="1"/>
  <c r="G1035" i="1"/>
  <c r="D765" i="1"/>
  <c r="D1741" i="1"/>
  <c r="D416" i="1"/>
  <c r="G303" i="1"/>
  <c r="D69" i="1"/>
  <c r="G221" i="1"/>
  <c r="D575" i="1"/>
  <c r="G1604" i="1"/>
  <c r="D1264" i="1"/>
  <c r="D70" i="1"/>
  <c r="D1035" i="1"/>
  <c r="G1579" i="1"/>
  <c r="D123" i="1"/>
  <c r="D1619" i="1"/>
  <c r="D953" i="1"/>
  <c r="D678" i="1"/>
  <c r="G238" i="1"/>
  <c r="G296" i="1"/>
  <c r="D494" i="1"/>
  <c r="D691" i="1"/>
  <c r="G948" i="1"/>
  <c r="D175" i="1"/>
  <c r="G252" i="1"/>
  <c r="G722" i="1"/>
  <c r="G1479" i="1"/>
  <c r="D1071" i="1"/>
  <c r="D295" i="1"/>
  <c r="D546" i="1"/>
  <c r="D19" i="1"/>
  <c r="D746" i="1"/>
  <c r="D914" i="1"/>
  <c r="D677" i="1"/>
  <c r="D115" i="1"/>
  <c r="D1709" i="1"/>
  <c r="D808" i="1"/>
  <c r="D21" i="1"/>
  <c r="G247" i="1"/>
  <c r="D1676" i="1"/>
  <c r="G719" i="1"/>
  <c r="D167" i="1"/>
  <c r="G917" i="1"/>
  <c r="G15" i="1"/>
  <c r="D751" i="1"/>
  <c r="G998" i="1"/>
  <c r="G692" i="1"/>
  <c r="G684" i="1"/>
  <c r="D345" i="1"/>
  <c r="G1093" i="1"/>
  <c r="G468" i="1"/>
  <c r="G1439" i="1"/>
  <c r="G187" i="1"/>
  <c r="G520" i="1"/>
  <c r="D540" i="1"/>
  <c r="G1622" i="1"/>
  <c r="G451" i="1"/>
  <c r="D1532" i="1"/>
  <c r="D698" i="1"/>
  <c r="D25" i="1"/>
  <c r="D1583" i="1"/>
  <c r="G1136" i="1"/>
  <c r="G979" i="1"/>
  <c r="G1068" i="1"/>
  <c r="G834" i="1"/>
  <c r="D737" i="1"/>
  <c r="D428" i="1"/>
  <c r="G286" i="1"/>
  <c r="G1736" i="1"/>
  <c r="D573" i="1"/>
  <c r="G434" i="1"/>
  <c r="D1547" i="1"/>
  <c r="G1726" i="1"/>
  <c r="D1477" i="1"/>
  <c r="G1561" i="1"/>
  <c r="D1185" i="1"/>
  <c r="D1721" i="1"/>
  <c r="D821" i="1"/>
  <c r="D1221" i="1"/>
  <c r="G689" i="1"/>
  <c r="D926" i="1"/>
  <c r="G521" i="1"/>
  <c r="G875" i="1"/>
  <c r="G29" i="1"/>
  <c r="D1229" i="1"/>
  <c r="G512" i="1"/>
  <c r="D225" i="1"/>
  <c r="D550" i="1"/>
  <c r="G312" i="1"/>
  <c r="D469" i="1"/>
  <c r="D456" i="1"/>
  <c r="G1043" i="1"/>
  <c r="G1163" i="1"/>
  <c r="G1350" i="1"/>
  <c r="G143" i="1"/>
  <c r="D47" i="1"/>
  <c r="D1070" i="1"/>
  <c r="G1696" i="1"/>
  <c r="D1719" i="1"/>
  <c r="G1274" i="1"/>
  <c r="G2" i="3"/>
  <c r="G1541" i="1"/>
  <c r="G1185" i="1"/>
  <c r="G1484" i="1"/>
  <c r="G1660" i="1"/>
  <c r="G1250" i="1"/>
  <c r="D1529" i="1"/>
  <c r="G701" i="1"/>
  <c r="G25" i="1"/>
  <c r="G913" i="1"/>
  <c r="G1142" i="1"/>
  <c r="G1094" i="1"/>
  <c r="D582" i="1"/>
  <c r="G145" i="1"/>
  <c r="D829" i="1"/>
  <c r="G1308" i="1"/>
  <c r="D535" i="1"/>
  <c r="G586" i="1"/>
  <c r="G1213" i="1"/>
  <c r="D1298" i="1"/>
  <c r="D542" i="1"/>
  <c r="G442" i="1"/>
  <c r="D1320" i="1"/>
  <c r="G240" i="1"/>
  <c r="G1159" i="1"/>
  <c r="G864" i="1"/>
  <c r="D1443" i="1"/>
  <c r="D1500" i="1"/>
  <c r="G765" i="1"/>
  <c r="D454" i="1"/>
  <c r="D264" i="1"/>
  <c r="G1366" i="1"/>
  <c r="G1086" i="1"/>
  <c r="D797" i="1"/>
  <c r="G437" i="1"/>
  <c r="D753" i="1"/>
  <c r="D457" i="1"/>
  <c r="G1509" i="1"/>
  <c r="D777" i="1"/>
  <c r="D770" i="1"/>
  <c r="D706" i="1"/>
  <c r="D13" i="1"/>
  <c r="G26" i="1"/>
  <c r="D527" i="1"/>
  <c r="G897" i="1"/>
  <c r="D1517" i="1"/>
  <c r="G439" i="1"/>
  <c r="D1062" i="1"/>
  <c r="D1476" i="1"/>
  <c r="G6" i="2"/>
  <c r="G48" i="1"/>
  <c r="D1294" i="1"/>
  <c r="G711" i="1"/>
  <c r="G478" i="1"/>
  <c r="D1655" i="1"/>
  <c r="D1704" i="1"/>
  <c r="D929" i="1"/>
  <c r="G1246" i="1"/>
  <c r="G1670" i="1"/>
  <c r="D667" i="1"/>
  <c r="D1429" i="1"/>
  <c r="G962" i="1"/>
  <c r="D362" i="1"/>
  <c r="D113" i="1"/>
  <c r="D488" i="1"/>
  <c r="G269" i="1"/>
  <c r="G438" i="1"/>
  <c r="D1310" i="1"/>
  <c r="D1361" i="1"/>
  <c r="D969" i="1"/>
  <c r="G1478" i="1"/>
  <c r="D1617" i="1"/>
  <c r="D1738" i="1"/>
  <c r="G1353" i="1"/>
  <c r="D1234" i="1"/>
  <c r="G1036" i="1"/>
  <c r="G1062" i="1"/>
  <c r="G1112" i="1"/>
  <c r="G120" i="1"/>
  <c r="G1540" i="1"/>
  <c r="D773" i="1"/>
  <c r="D1390" i="1"/>
  <c r="D427" i="1"/>
  <c r="D1702" i="1"/>
  <c r="D687" i="1"/>
  <c r="G277" i="1"/>
  <c r="G1046" i="1"/>
  <c r="D260" i="1"/>
  <c r="D732" i="1"/>
  <c r="D792" i="1"/>
  <c r="D190" i="1"/>
  <c r="D810" i="1"/>
  <c r="D1713" i="1"/>
  <c r="D408" i="1"/>
  <c r="G1585" i="1"/>
  <c r="G801" i="1"/>
  <c r="D1263" i="1"/>
  <c r="D199" i="1"/>
  <c r="G1001" i="1"/>
  <c r="D358" i="1"/>
  <c r="D200" i="1"/>
  <c r="G1491" i="1"/>
  <c r="G173" i="1"/>
  <c r="G772" i="1"/>
  <c r="G618" i="1"/>
  <c r="D778" i="1"/>
  <c r="D155" i="1"/>
  <c r="D1409" i="1"/>
  <c r="G310" i="1"/>
  <c r="D64" i="1"/>
  <c r="G1758" i="1"/>
  <c r="D612" i="1"/>
  <c r="G818" i="1"/>
  <c r="G1335" i="1"/>
  <c r="G1611" i="1"/>
  <c r="D1758" i="1"/>
  <c r="D423" i="1"/>
  <c r="G7" i="2"/>
  <c r="D222" i="1"/>
  <c r="D452" i="1"/>
  <c r="D895" i="1"/>
  <c r="D1289" i="1"/>
  <c r="D327" i="1"/>
  <c r="D842" i="1"/>
  <c r="G1370" i="1"/>
  <c r="G743" i="1"/>
  <c r="D1486" i="1"/>
  <c r="G121" i="1"/>
  <c r="G50" i="1"/>
  <c r="D424" i="1"/>
  <c r="D1752" i="1"/>
  <c r="D236" i="1"/>
  <c r="G1577" i="1"/>
  <c r="D701" i="1"/>
  <c r="G1331" i="1"/>
  <c r="D1597" i="1"/>
  <c r="G1746" i="1"/>
  <c r="D1277" i="1"/>
  <c r="D864" i="1"/>
  <c r="G335" i="1"/>
  <c r="D453" i="1"/>
  <c r="D516" i="1"/>
  <c r="D1251" i="1"/>
  <c r="D1023" i="1"/>
  <c r="D1478" i="1"/>
  <c r="D25" i="7"/>
  <c r="G1649" i="1"/>
  <c r="D1044" i="1"/>
  <c r="G1544" i="1"/>
  <c r="G688" i="1"/>
  <c r="D1602" i="1"/>
  <c r="G148" i="1"/>
  <c r="G1754" i="1"/>
  <c r="D137" i="1"/>
  <c r="D458" i="1"/>
  <c r="G4" i="3"/>
  <c r="D894" i="1"/>
  <c r="G749" i="1"/>
  <c r="G93" i="1"/>
  <c r="D597" i="1"/>
  <c r="D1396" i="1"/>
  <c r="G1729" i="1"/>
  <c r="D1235" i="1"/>
  <c r="G329" i="1"/>
  <c r="G1449" i="1"/>
  <c r="G944" i="1"/>
  <c r="G985" i="1"/>
  <c r="D1444" i="1"/>
  <c r="D517" i="1"/>
  <c r="D55" i="1"/>
  <c r="D1557" i="1"/>
  <c r="D27" i="1"/>
  <c r="D1279" i="1"/>
  <c r="G981" i="1"/>
  <c r="D1314" i="1"/>
  <c r="G843" i="1"/>
  <c r="G620" i="1"/>
  <c r="D26" i="1"/>
  <c r="D1242" i="1"/>
  <c r="D1683" i="1"/>
  <c r="D893" i="1"/>
  <c r="D1465" i="1"/>
  <c r="G1119" i="1"/>
  <c r="D774" i="1"/>
  <c r="G57" i="1"/>
  <c r="G1069" i="1"/>
  <c r="D238" i="1"/>
  <c r="G1298" i="1"/>
  <c r="G591" i="1"/>
  <c r="D716" i="1"/>
  <c r="D1651" i="1"/>
  <c r="G206" i="1"/>
  <c r="G1558" i="1"/>
  <c r="D766" i="1"/>
  <c r="G633" i="1"/>
  <c r="G1725" i="1"/>
  <c r="G1651" i="1"/>
  <c r="D812" i="1"/>
  <c r="D1397" i="1"/>
  <c r="G814" i="1"/>
  <c r="G1424" i="1"/>
  <c r="G539" i="1"/>
  <c r="D1176" i="1"/>
  <c r="D97" i="1"/>
  <c r="G547" i="1"/>
  <c r="D1742" i="1"/>
  <c r="D1078" i="1"/>
  <c r="D1562" i="1"/>
  <c r="D1711" i="1"/>
  <c r="G1707" i="1"/>
  <c r="D735" i="1"/>
  <c r="D467" i="1"/>
  <c r="G177" i="1"/>
  <c r="D448" i="1"/>
  <c r="G1376" i="1"/>
  <c r="D1224" i="1"/>
  <c r="G829" i="1"/>
  <c r="G1474" i="1"/>
  <c r="G339" i="1"/>
  <c r="D848" i="1"/>
  <c r="D1132" i="1"/>
  <c r="G1682" i="1"/>
  <c r="D1697" i="1"/>
  <c r="D1069" i="1"/>
  <c r="D1762" i="1"/>
  <c r="D1403" i="1"/>
  <c r="G334" i="1"/>
  <c r="D660" i="1"/>
  <c r="D905" i="1"/>
  <c r="G536" i="1"/>
  <c r="G9" i="1"/>
  <c r="D880" i="1"/>
  <c r="G842" i="1"/>
  <c r="G640" i="1"/>
  <c r="G358" i="1"/>
  <c r="G764" i="1"/>
  <c r="G1017" i="1"/>
  <c r="G611" i="1"/>
  <c r="D217" i="1"/>
  <c r="G695" i="1"/>
  <c r="G1189" i="1"/>
  <c r="G627" i="1"/>
  <c r="D191" i="1"/>
  <c r="D1021" i="1"/>
  <c r="G841" i="1"/>
  <c r="D321" i="1"/>
  <c r="D94" i="1"/>
  <c r="D644" i="1"/>
  <c r="D1466" i="1"/>
  <c r="D1129" i="1"/>
  <c r="G1233" i="1"/>
  <c r="D1681" i="1"/>
  <c r="D111" i="1"/>
  <c r="G1657" i="1"/>
  <c r="G65" i="1"/>
  <c r="D172" i="1"/>
  <c r="G1645" i="1"/>
  <c r="G1237" i="1"/>
  <c r="G420" i="1"/>
  <c r="G1364" i="1"/>
  <c r="D680" i="1"/>
  <c r="D340" i="1"/>
  <c r="G1122" i="1"/>
  <c r="D266" i="1"/>
  <c r="G1346" i="1"/>
  <c r="G644" i="1"/>
  <c r="D980" i="1"/>
  <c r="D534" i="1"/>
  <c r="D577" i="1"/>
  <c r="G1687" i="1"/>
  <c r="D960" i="1"/>
  <c r="D886" i="1"/>
  <c r="G1021" i="1"/>
  <c r="G314" i="1"/>
  <c r="D1559" i="1"/>
  <c r="G282" i="1"/>
  <c r="G740" i="1"/>
  <c r="D1746" i="1"/>
  <c r="D846" i="1"/>
  <c r="D1745" i="1"/>
  <c r="G495" i="1"/>
  <c r="D966" i="1"/>
  <c r="G533" i="1"/>
  <c r="G1433" i="1"/>
  <c r="D384" i="1"/>
  <c r="D1270" i="1"/>
  <c r="D48" i="1"/>
  <c r="D1342" i="1"/>
  <c r="G870" i="1"/>
  <c r="G1150" i="1"/>
  <c r="D22" i="7"/>
  <c r="G1024" i="1"/>
  <c r="D1359" i="1"/>
  <c r="D1740" i="1"/>
  <c r="D626" i="1"/>
  <c r="D353" i="1"/>
  <c r="G1391" i="1"/>
  <c r="D250" i="1"/>
  <c r="G1552" i="1"/>
  <c r="D543" i="1"/>
  <c r="D370" i="1"/>
  <c r="D1436" i="1"/>
  <c r="G308" i="1"/>
  <c r="D50" i="1"/>
  <c r="D430" i="1"/>
  <c r="D245" i="1"/>
  <c r="D1039" i="1"/>
  <c r="G372" i="1"/>
  <c r="G523" i="1"/>
  <c r="D1416" i="1"/>
  <c r="G262" i="1"/>
  <c r="D258" i="1"/>
  <c r="D412" i="1"/>
  <c r="G1448" i="1"/>
  <c r="D1019" i="1"/>
  <c r="G1203" i="1"/>
  <c r="D1560" i="1"/>
  <c r="G171" i="1"/>
  <c r="D1227" i="1"/>
  <c r="G1582" i="1"/>
  <c r="G910" i="1"/>
  <c r="D1506" i="1"/>
  <c r="D866" i="1"/>
  <c r="D1208" i="1"/>
  <c r="G1733" i="1"/>
  <c r="G1529" i="1"/>
  <c r="D1369" i="1"/>
  <c r="G1254" i="1"/>
  <c r="G1499" i="1"/>
  <c r="G454" i="1"/>
  <c r="D954" i="1"/>
  <c r="G418" i="1"/>
  <c r="G24" i="1"/>
  <c r="G1407" i="1"/>
  <c r="D490" i="1"/>
  <c r="G1612" i="1"/>
  <c r="D781" i="1"/>
  <c r="G1312" i="1"/>
  <c r="G1623" i="1"/>
  <c r="D1160" i="1"/>
  <c r="G1575" i="1"/>
  <c r="G1531" i="1"/>
  <c r="D1197" i="1"/>
  <c r="G646" i="1"/>
  <c r="D1575" i="1"/>
  <c r="D1411" i="1"/>
  <c r="G141" i="1"/>
  <c r="D71" i="1"/>
  <c r="D769" i="1"/>
  <c r="D1408" i="1"/>
  <c r="D164" i="1"/>
  <c r="G1018" i="1"/>
  <c r="D722" i="1"/>
  <c r="G776" i="1"/>
  <c r="G1590" i="1"/>
  <c r="D365" i="1"/>
  <c r="G1247" i="1"/>
  <c r="D403" i="1"/>
  <c r="G315" i="1"/>
  <c r="D243" i="1"/>
  <c r="D149" i="1"/>
  <c r="G32" i="1"/>
  <c r="G136" i="1"/>
  <c r="G1013" i="1"/>
  <c r="D388" i="1"/>
  <c r="D251" i="1"/>
  <c r="G105" i="1"/>
  <c r="G1202" i="1"/>
  <c r="G1535" i="1"/>
  <c r="D801" i="1"/>
  <c r="G188" i="1"/>
  <c r="G1684" i="1"/>
  <c r="D15" i="1"/>
  <c r="D313" i="1"/>
  <c r="G862" i="1"/>
  <c r="D1475" i="1"/>
  <c r="G546" i="1"/>
  <c r="G359" i="1"/>
  <c r="D487" i="1"/>
  <c r="G1683" i="1"/>
  <c r="D1566" i="1"/>
  <c r="G930" i="1"/>
  <c r="G360" i="1"/>
  <c r="D39" i="1"/>
  <c r="G1149" i="1"/>
  <c r="D967" i="1"/>
  <c r="J3" i="2"/>
  <c r="G448" i="1"/>
  <c r="G1178" i="1"/>
  <c r="D420" i="1"/>
  <c r="D244" i="1"/>
  <c r="D318" i="1"/>
  <c r="G889" i="1"/>
  <c r="D1490" i="1"/>
  <c r="D639" i="1"/>
  <c r="D729" i="1"/>
  <c r="G1434" i="1"/>
  <c r="G425" i="1"/>
  <c r="G298" i="1"/>
  <c r="G1201" i="1"/>
  <c r="D1209" i="1"/>
  <c r="G72" i="1"/>
  <c r="G55" i="1"/>
  <c r="G1362" i="1"/>
  <c r="G337" i="1"/>
  <c r="G1534" i="1"/>
  <c r="D1256" i="1"/>
  <c r="G949" i="1"/>
  <c r="D1275" i="1"/>
  <c r="D1388" i="1"/>
  <c r="G184" i="1"/>
  <c r="D1422" i="1"/>
  <c r="D1255" i="1"/>
  <c r="D1593" i="1"/>
  <c r="D835" i="1"/>
  <c r="D1630" i="1"/>
  <c r="G18" i="1"/>
  <c r="D1383" i="1"/>
  <c r="G718" i="1"/>
  <c r="G137" i="1"/>
  <c r="G921" i="1"/>
  <c r="D268" i="1"/>
  <c r="G1632" i="1"/>
  <c r="G1276" i="1"/>
  <c r="D911" i="1"/>
  <c r="D1727" i="1"/>
  <c r="D1147" i="1"/>
  <c r="G1387" i="1"/>
  <c r="D986" i="1"/>
  <c r="D700" i="1"/>
  <c r="G140" i="1"/>
  <c r="G1214" i="1"/>
  <c r="G1107" i="1"/>
  <c r="G411" i="1"/>
  <c r="D704" i="1"/>
  <c r="G1245" i="1"/>
  <c r="G1751" i="1"/>
  <c r="D286" i="1"/>
  <c r="G191" i="1"/>
  <c r="D374" i="1"/>
  <c r="G106" i="1"/>
  <c r="G1053" i="1"/>
  <c r="G1315" i="1"/>
  <c r="D939" i="1"/>
  <c r="G261" i="1"/>
  <c r="G1095" i="1"/>
  <c r="G80" i="1"/>
  <c r="G1190" i="1"/>
  <c r="G170" i="1"/>
  <c r="G1317" i="1"/>
  <c r="G96" i="1"/>
  <c r="D620" i="1"/>
  <c r="D1367" i="1"/>
  <c r="G1551" i="1"/>
  <c r="D1121" i="1"/>
  <c r="D630" i="1"/>
  <c r="G294" i="1"/>
  <c r="G1697" i="1"/>
  <c r="G874" i="1"/>
  <c r="D1694" i="1"/>
  <c r="G1302" i="1"/>
  <c r="G959" i="1"/>
  <c r="G326" i="1"/>
  <c r="G1644" i="1"/>
  <c r="F2" i="6"/>
  <c r="D401" i="1"/>
  <c r="D1257" i="1"/>
  <c r="D1134" i="1"/>
  <c r="G1460" i="1"/>
  <c r="D92" i="1"/>
  <c r="G579" i="1"/>
  <c r="G967" i="1"/>
  <c r="G615" i="1"/>
  <c r="D1753" i="1"/>
  <c r="G671" i="1"/>
  <c r="G545" i="1"/>
  <c r="G563" i="1"/>
  <c r="D1058" i="1"/>
  <c r="G878" i="1"/>
  <c r="G1550" i="1"/>
  <c r="G636" i="1"/>
  <c r="D1330" i="1"/>
  <c r="D1660" i="1"/>
  <c r="G1627" i="1"/>
  <c r="G1500" i="1"/>
  <c r="D1349" i="1"/>
  <c r="D366" i="1"/>
  <c r="D1417" i="1"/>
  <c r="G1217" i="1"/>
  <c r="D502" i="1"/>
  <c r="G1699" i="1"/>
  <c r="D1663" i="1"/>
  <c r="G1072" i="1"/>
  <c r="D1059" i="1"/>
  <c r="G550" i="1"/>
  <c r="G1712" i="1"/>
  <c r="D811" i="1"/>
  <c r="D59" i="1"/>
  <c r="D666" i="1"/>
  <c r="G1668" i="1"/>
  <c r="D1315" i="1"/>
  <c r="G1226" i="1"/>
  <c r="G1662" i="1"/>
  <c r="D1097" i="1"/>
  <c r="G1618" i="1"/>
  <c r="G1617" i="1"/>
  <c r="D1205" i="1"/>
  <c r="D163" i="1"/>
  <c r="D671" i="1"/>
  <c r="G267" i="1"/>
  <c r="G628" i="1"/>
  <c r="D201" i="1"/>
  <c r="G1392" i="1"/>
  <c r="D1648" i="1"/>
  <c r="D885" i="1"/>
  <c r="G1373" i="1"/>
  <c r="G1513" i="1"/>
  <c r="D857" i="1"/>
  <c r="G1154" i="1"/>
  <c r="G1340" i="1"/>
  <c r="D216" i="1"/>
  <c r="D840" i="1"/>
  <c r="D514" i="1"/>
  <c r="D629" i="1"/>
  <c r="G1225" i="1"/>
  <c r="D948" i="1"/>
  <c r="G792" i="1"/>
  <c r="G1261" i="1"/>
  <c r="D805" i="1"/>
  <c r="D1761" i="1"/>
  <c r="G1415" i="1"/>
  <c r="G1613" i="1"/>
  <c r="G1607" i="1"/>
  <c r="D675" i="1"/>
  <c r="D820" i="1"/>
  <c r="G570" i="1"/>
  <c r="G517" i="1"/>
  <c r="G912" i="1"/>
  <c r="D1099" i="1"/>
  <c r="G1301" i="1"/>
  <c r="D795" i="1"/>
  <c r="G1096" i="1"/>
  <c r="G34" i="1"/>
  <c r="D648" i="1"/>
  <c r="D726" i="1"/>
  <c r="D595" i="1"/>
  <c r="D1118" i="1"/>
  <c r="D263" i="1"/>
  <c r="G1374" i="1"/>
  <c r="G516" i="1"/>
  <c r="G559" i="1"/>
  <c r="G1272" i="1"/>
  <c r="D310" i="1"/>
  <c r="D1346" i="1"/>
  <c r="G873" i="1"/>
  <c r="D1675" i="1"/>
  <c r="D173" i="1"/>
  <c r="G540" i="1"/>
  <c r="D88" i="1"/>
  <c r="G1706" i="1"/>
  <c r="D145" i="1"/>
  <c r="D613" i="1"/>
  <c r="G1462" i="1"/>
  <c r="G1127" i="1"/>
  <c r="D1015" i="1"/>
  <c r="D376" i="1"/>
  <c r="D1159" i="1"/>
  <c r="D606" i="1"/>
  <c r="D1750" i="1"/>
  <c r="D653" i="1"/>
  <c r="G1319" i="1"/>
  <c r="G1123" i="1"/>
  <c r="D553" i="1"/>
  <c r="D640" i="1"/>
  <c r="D1138" i="1"/>
  <c r="G274" i="1"/>
  <c r="G5" i="2"/>
  <c r="G1665" i="1"/>
  <c r="D513" i="1"/>
  <c r="G112" i="1"/>
  <c r="G306" i="1"/>
  <c r="D828" i="1"/>
  <c r="G384" i="1"/>
  <c r="D1313" i="1"/>
  <c r="G654" i="1"/>
  <c r="G489" i="1"/>
  <c r="D554" i="1"/>
  <c r="D945" i="1"/>
  <c r="G27" i="1"/>
  <c r="G492" i="1"/>
  <c r="D713" i="1"/>
  <c r="D1708" i="1"/>
  <c r="D710" i="1"/>
  <c r="G1116" i="1"/>
  <c r="G1591" i="1"/>
  <c r="D46" i="1"/>
  <c r="G1546" i="1"/>
  <c r="G1592" i="1"/>
  <c r="D1312" i="1"/>
  <c r="G304" i="1"/>
  <c r="D903" i="1"/>
  <c r="D561" i="1"/>
  <c r="D1317" i="1"/>
  <c r="G36" i="1"/>
  <c r="G672" i="1"/>
  <c r="D825" i="1"/>
  <c r="D1734" i="1"/>
  <c r="D332" i="1"/>
  <c r="D1260" i="1"/>
  <c r="G1252" i="1"/>
  <c r="G1047" i="1"/>
  <c r="D1214" i="1"/>
  <c r="D749" i="1"/>
  <c r="G565" i="1"/>
  <c r="G1633" i="1"/>
  <c r="G791" i="1"/>
  <c r="G1348" i="1"/>
  <c r="D657" i="1"/>
  <c r="D717" i="1"/>
  <c r="D515" i="1"/>
  <c r="G1356" i="1"/>
  <c r="D381" i="1"/>
  <c r="D1394" i="1"/>
  <c r="D910" i="1"/>
  <c r="G126" i="1"/>
  <c r="D1323" i="1"/>
  <c r="D1461" i="1"/>
  <c r="G755" i="1"/>
  <c r="D1295" i="1"/>
  <c r="D359" i="1"/>
  <c r="D673" i="1"/>
  <c r="G486" i="1"/>
  <c r="D405" i="1"/>
  <c r="G1455" i="1"/>
  <c r="G299" i="1"/>
  <c r="D692" i="1"/>
  <c r="G641" i="1"/>
  <c r="D195" i="1"/>
  <c r="G859" i="1"/>
  <c r="G816" i="1"/>
  <c r="G1630" i="1"/>
  <c r="D614" i="1"/>
  <c r="D711" i="1"/>
  <c r="D23" i="7"/>
  <c r="D752" i="1"/>
  <c r="D937" i="1"/>
  <c r="D791" i="1"/>
  <c r="G744" i="1"/>
  <c r="G958" i="1"/>
  <c r="D991" i="1"/>
  <c r="D558" i="1"/>
  <c r="D1456" i="1"/>
  <c r="D655" i="1"/>
  <c r="G750" i="1"/>
  <c r="G1257" i="1"/>
  <c r="D1747" i="1"/>
  <c r="D784" i="1"/>
  <c r="G831" i="1"/>
  <c r="D633" i="1"/>
  <c r="D1079" i="1"/>
  <c r="G707" i="1"/>
  <c r="D1228" i="1"/>
  <c r="G1265" i="1"/>
  <c r="D159" i="1"/>
  <c r="G1487" i="1"/>
  <c r="G956" i="1"/>
  <c r="G319" i="1"/>
  <c r="G1572" i="1"/>
  <c r="D207" i="1"/>
  <c r="D1156" i="1"/>
  <c r="D1005" i="1"/>
  <c r="G217" i="1"/>
  <c r="D168" i="1"/>
  <c r="G429" i="1"/>
  <c r="D240" i="1"/>
  <c r="D392" i="1"/>
  <c r="G1223" i="1"/>
  <c r="G554" i="1"/>
  <c r="D834" i="1"/>
  <c r="G1342" i="1"/>
  <c r="G422" i="1"/>
  <c r="D1206" i="1"/>
  <c r="G594" i="1"/>
  <c r="G99" i="1"/>
  <c r="G1686" i="1"/>
  <c r="D1106" i="1"/>
  <c r="D524" i="1"/>
  <c r="D508" i="1"/>
  <c r="D368" i="1"/>
  <c r="D1576" i="1"/>
  <c r="D802" i="1"/>
  <c r="G1249" i="1"/>
  <c r="D464" i="1"/>
  <c r="G977" i="1"/>
  <c r="G1597" i="1"/>
  <c r="G14" i="1"/>
  <c r="G815" i="1"/>
  <c r="G122" i="1"/>
  <c r="G1482" i="1"/>
  <c r="D1299" i="1"/>
  <c r="G1108" i="1"/>
  <c r="D104" i="1"/>
  <c r="G698" i="1"/>
  <c r="D1307" i="1"/>
  <c r="G854" i="1"/>
  <c r="D57" i="1"/>
  <c r="D1535" i="1"/>
  <c r="G363" i="1"/>
  <c r="G805" i="1"/>
  <c r="G176" i="1"/>
  <c r="G1385" i="1"/>
  <c r="G453" i="1"/>
  <c r="D1113" i="1"/>
  <c r="D538" i="1"/>
  <c r="D1137" i="1"/>
  <c r="G971" i="1"/>
  <c r="G720" i="1"/>
  <c r="G146" i="1"/>
  <c r="G871" i="1"/>
  <c r="D7" i="1"/>
  <c r="D867" i="1"/>
  <c r="G1304" i="1"/>
  <c r="G218" i="1"/>
  <c r="G417" i="1"/>
  <c r="G1553" i="1"/>
  <c r="D1430" i="1"/>
  <c r="G987" i="1"/>
  <c r="G838" i="1"/>
  <c r="D302" i="1"/>
  <c r="D1174" i="1"/>
  <c r="G398" i="1"/>
  <c r="G712" i="1"/>
  <c r="G476" i="1"/>
  <c r="G151" i="1"/>
  <c r="G1494" i="1"/>
  <c r="G991" i="1"/>
  <c r="G2" i="2"/>
  <c r="G39" i="1"/>
  <c r="D772" i="1"/>
  <c r="G1380" i="1"/>
  <c r="D1343" i="1"/>
  <c r="G761" i="1"/>
  <c r="D993" i="1"/>
  <c r="D156" i="1"/>
  <c r="D663" i="1"/>
  <c r="D1556" i="1"/>
  <c r="D466" i="1"/>
  <c r="G1277" i="1"/>
  <c r="D1607" i="1"/>
  <c r="G1402" i="1"/>
  <c r="D1735" i="1"/>
  <c r="D1705" i="1"/>
  <c r="D1103" i="1"/>
  <c r="G1078" i="1"/>
  <c r="G1732" i="1"/>
  <c r="G1268" i="1"/>
  <c r="G493" i="1"/>
  <c r="D1624" i="1"/>
  <c r="G1410" i="1"/>
  <c r="D1703" i="1"/>
  <c r="D570" i="1"/>
  <c r="D40" i="1"/>
  <c r="D806" i="1"/>
  <c r="D1435" i="1"/>
  <c r="G770" i="1"/>
  <c r="G397" i="1"/>
  <c r="D555" i="1"/>
  <c r="D122" i="1"/>
  <c r="G1267" i="1"/>
  <c r="D1714" i="1"/>
  <c r="D162" i="1"/>
  <c r="G346" i="1"/>
  <c r="D44" i="1"/>
  <c r="D1643" i="1"/>
  <c r="D52" i="1"/>
  <c r="G1281" i="1"/>
  <c r="D611" i="1"/>
  <c r="G950" i="1"/>
  <c r="D973" i="1"/>
  <c r="G60" i="1"/>
  <c r="G483" i="1"/>
  <c r="G532" i="1"/>
  <c r="G609" i="1"/>
  <c r="G883" i="1"/>
  <c r="D1133" i="1"/>
  <c r="G419" i="1"/>
  <c r="D928" i="1"/>
  <c r="G1465" i="1"/>
  <c r="G1177" i="1"/>
  <c r="D943" i="1"/>
  <c r="D291" i="1"/>
  <c r="G189" i="1"/>
  <c r="D1181" i="1"/>
  <c r="G1352" i="1"/>
  <c r="G207" i="1"/>
  <c r="D1446" i="1"/>
  <c r="D106" i="1"/>
  <c r="G1598" i="1"/>
  <c r="G336" i="1"/>
  <c r="D731" i="1"/>
  <c r="G1641" i="1"/>
  <c r="D649" i="1"/>
  <c r="G1625" i="1"/>
  <c r="D1464" i="1"/>
  <c r="G596" i="1"/>
  <c r="G45" i="1"/>
  <c r="D29" i="1"/>
  <c r="D590" i="1"/>
  <c r="G1752" i="1"/>
  <c r="G530" i="1"/>
  <c r="G997" i="1"/>
  <c r="D24" i="1"/>
  <c r="G604" i="1"/>
  <c r="D843" i="1"/>
  <c r="G1286" i="1"/>
  <c r="G531" i="1"/>
  <c r="D1493" i="1"/>
  <c r="D1241" i="1"/>
  <c r="D890" i="1"/>
  <c r="D1336" i="1"/>
  <c r="G738" i="1"/>
  <c r="G376" i="1"/>
  <c r="G211" i="1"/>
  <c r="G1270" i="1"/>
  <c r="G273" i="1"/>
  <c r="D947" i="1"/>
  <c r="D924" i="1"/>
  <c r="D1008" i="1"/>
  <c r="D213" i="1"/>
  <c r="G197" i="1"/>
  <c r="D35" i="1"/>
  <c r="D1539" i="1"/>
  <c r="D1244" i="1"/>
  <c r="D410" i="1"/>
  <c r="D247" i="1"/>
  <c r="D661" i="1"/>
  <c r="G600" i="1"/>
  <c r="D571" i="1"/>
  <c r="D54" i="1"/>
  <c r="D1433" i="1"/>
  <c r="D1188" i="1"/>
  <c r="G1056" i="1"/>
  <c r="G925" i="1"/>
  <c r="D1717" i="1"/>
  <c r="D1489" i="1"/>
  <c r="D1063" i="1"/>
  <c r="G1324" i="1"/>
  <c r="D1724" i="1"/>
  <c r="G421" i="1"/>
  <c r="G323" i="1"/>
  <c r="G1475" i="1"/>
  <c r="D1052" i="1"/>
  <c r="G113" i="1"/>
  <c r="D1358" i="1"/>
  <c r="D634" i="1"/>
  <c r="G373" i="1"/>
  <c r="D1507" i="1"/>
  <c r="D856" i="1"/>
  <c r="G445" i="1"/>
  <c r="G836" i="1"/>
  <c r="D1759" i="1"/>
  <c r="G809" i="1"/>
  <c r="D42" i="1"/>
  <c r="D337" i="1"/>
  <c r="D1449" i="1"/>
  <c r="G1417" i="1"/>
  <c r="G1508" i="1"/>
  <c r="D67" i="1"/>
  <c r="D526" i="1"/>
  <c r="G982" i="1"/>
  <c r="D803" i="1"/>
  <c r="D1163" i="1"/>
  <c r="G1503" i="1"/>
  <c r="G1745" i="1"/>
  <c r="G866" i="1"/>
  <c r="D1094" i="1"/>
  <c r="D498" i="1"/>
  <c r="D635" i="1"/>
  <c r="D465" i="1"/>
  <c r="D68" i="1"/>
  <c r="D382" i="1"/>
  <c r="G1197" i="1"/>
  <c r="G1194" i="1"/>
  <c r="D596" i="1"/>
  <c r="G1420" i="1"/>
  <c r="G288" i="1"/>
  <c r="D1091" i="1"/>
  <c r="G321" i="1"/>
  <c r="G965" i="1"/>
  <c r="G212" i="1"/>
  <c r="G605" i="1"/>
  <c r="G377" i="1"/>
  <c r="D1357" i="1"/>
  <c r="D45" i="1"/>
  <c r="G511" i="1"/>
  <c r="G975" i="1"/>
  <c r="G135" i="1"/>
  <c r="D659" i="1"/>
  <c r="G1481" i="1"/>
  <c r="G1609" i="1"/>
  <c r="G201" i="1"/>
  <c r="G1165" i="1"/>
  <c r="D1029" i="1"/>
  <c r="D342" i="1"/>
  <c r="G869" i="1"/>
  <c r="D1585" i="1"/>
  <c r="D1453" i="1"/>
  <c r="G1054" i="1"/>
  <c r="D961" i="1"/>
  <c r="G69" i="1"/>
  <c r="D1363" i="1"/>
  <c r="G1066" i="1"/>
  <c r="D1552" i="1"/>
  <c r="G587" i="1"/>
  <c r="D1153" i="1"/>
  <c r="D1230" i="1"/>
  <c r="D1140" i="1"/>
  <c r="G1517" i="1"/>
  <c r="D288" i="1"/>
  <c r="D174" i="1"/>
  <c r="G945" i="1"/>
  <c r="D547" i="1"/>
  <c r="G292" i="1"/>
  <c r="D1544" i="1"/>
  <c r="D1499" i="1"/>
  <c r="G813" i="1"/>
  <c r="G653" i="1"/>
  <c r="G139" i="1"/>
  <c r="D699" i="1"/>
  <c r="G1596" i="1"/>
  <c r="D1579" i="1"/>
  <c r="D1458" i="1"/>
  <c r="D763" i="1"/>
  <c r="G1273" i="1"/>
  <c r="D622" i="1"/>
  <c r="G108" i="1"/>
  <c r="D400" i="1"/>
  <c r="G1543" i="1"/>
  <c r="G522" i="1"/>
  <c r="D759" i="1"/>
  <c r="D569" i="1"/>
  <c r="D1401" i="1"/>
  <c r="G28" i="1"/>
  <c r="G1104" i="1"/>
  <c r="G459" i="1"/>
  <c r="D1398" i="1"/>
  <c r="G972" i="1"/>
  <c r="D922" i="1"/>
  <c r="D1420" i="1"/>
  <c r="D1723" i="1"/>
  <c r="G1663" i="1"/>
  <c r="G619" i="1"/>
  <c r="G138" i="1"/>
  <c r="D933" i="1"/>
  <c r="D38" i="1"/>
  <c r="D1377" i="1"/>
  <c r="G1692" i="1"/>
  <c r="G1132" i="1"/>
  <c r="D860" i="1"/>
  <c r="D1501" i="1"/>
  <c r="D53" i="1"/>
  <c r="G561" i="1"/>
  <c r="D11" i="1"/>
  <c r="G31" i="1"/>
  <c r="D1730" i="1"/>
  <c r="D224" i="1"/>
  <c r="G210" i="1"/>
  <c r="G1444" i="1"/>
  <c r="G1446" i="1"/>
  <c r="D257" i="1"/>
  <c r="D1083" i="1"/>
  <c r="D1344" i="1"/>
  <c r="D505" i="1"/>
  <c r="G280" i="1"/>
  <c r="G78" i="1"/>
  <c r="D1378" i="1"/>
  <c r="D1524" i="1"/>
  <c r="D936" i="1"/>
  <c r="D150" i="1"/>
  <c r="D277" i="1"/>
  <c r="G1555" i="1"/>
  <c r="K8" i="1"/>
  <c r="G907" i="1"/>
  <c r="G1421" i="1"/>
  <c r="D196" i="1"/>
  <c r="G706" i="1"/>
  <c r="D479" i="1"/>
  <c r="D1303" i="1"/>
  <c r="G172" i="1"/>
  <c r="G603" i="1"/>
  <c r="D169" i="1"/>
  <c r="D529" i="1"/>
  <c r="D1356" i="1"/>
  <c r="G395" i="1"/>
  <c r="D1274" i="1"/>
  <c r="G1049" i="1"/>
  <c r="D837" i="1"/>
  <c r="G942" i="1"/>
  <c r="D1533" i="1"/>
  <c r="D1152" i="1"/>
  <c r="G369" i="1"/>
  <c r="D790" i="1"/>
  <c r="D171" i="1"/>
  <c r="D1036" i="1"/>
  <c r="G175" i="1"/>
  <c r="G463" i="1"/>
  <c r="G1605" i="1"/>
  <c r="G194" i="1"/>
  <c r="G1361" i="1"/>
  <c r="D1280" i="1"/>
  <c r="D1223" i="1"/>
  <c r="G345" i="1"/>
  <c r="G1676" i="1"/>
  <c r="D891" i="1"/>
  <c r="G475" i="1"/>
  <c r="D799" i="1"/>
  <c r="D1563" i="1"/>
  <c r="D1546" i="1"/>
  <c r="G1145" i="1"/>
  <c r="G490" i="1"/>
  <c r="D779" i="1"/>
  <c r="D31" i="1"/>
  <c r="D256" i="1"/>
  <c r="G1395" i="1"/>
  <c r="G974" i="1"/>
  <c r="G966" i="1"/>
  <c r="D1217" i="1"/>
  <c r="D441" i="1"/>
  <c r="G560" i="1"/>
  <c r="G1371" i="1"/>
  <c r="G159" i="1"/>
  <c r="G390" i="1"/>
  <c r="G341" i="1"/>
  <c r="D1469" i="1"/>
  <c r="G556" i="1"/>
  <c r="D116" i="1"/>
  <c r="G365" i="1"/>
  <c r="D480" i="1"/>
  <c r="D336" i="1"/>
  <c r="D1543" i="1"/>
  <c r="D814" i="1"/>
  <c r="G1442" i="1"/>
  <c r="G933" i="1"/>
  <c r="D1331" i="1"/>
  <c r="D348" i="1"/>
  <c r="G291" i="1"/>
  <c r="G1506" i="1"/>
  <c r="D426" i="1"/>
  <c r="G427" i="1"/>
  <c r="D1646" i="1"/>
  <c r="G1032" i="1"/>
  <c r="D1744" i="1"/>
  <c r="D349" i="1"/>
  <c r="G264" i="1"/>
  <c r="G1549" i="1"/>
  <c r="D1399" i="1"/>
  <c r="D1618" i="1"/>
  <c r="D1665" i="1"/>
  <c r="G466" i="1"/>
  <c r="G1290" i="1"/>
  <c r="G652" i="1"/>
  <c r="D1211" i="1"/>
  <c r="D5" i="7"/>
  <c r="G494" i="1"/>
  <c r="G23" i="1"/>
  <c r="G657" i="1"/>
  <c r="G253" i="1"/>
  <c r="D1183" i="1"/>
  <c r="D593" i="1"/>
  <c r="D931" i="1"/>
  <c r="D93" i="1"/>
  <c r="G902" i="1"/>
  <c r="G110" i="1"/>
  <c r="G458" i="1"/>
  <c r="G213" i="1"/>
  <c r="D229" i="1"/>
  <c r="D399" i="1"/>
  <c r="G1418" i="1"/>
  <c r="G757" i="1"/>
  <c r="D1718" i="1"/>
  <c r="D1151" i="1"/>
  <c r="G268" i="1"/>
  <c r="D8" i="7"/>
  <c r="D1080" i="1"/>
  <c r="G1405" i="1"/>
  <c r="G935" i="1"/>
  <c r="G909" i="1"/>
  <c r="G1082" i="1"/>
  <c r="D1199" i="1"/>
  <c r="D1066" i="1"/>
  <c r="G297" i="1"/>
  <c r="G3" i="2"/>
  <c r="G877" i="1"/>
  <c r="G158" i="1"/>
  <c r="G505" i="1"/>
  <c r="D187" i="1"/>
  <c r="D1338" i="1"/>
  <c r="D1696" i="1"/>
  <c r="G1560" i="1"/>
  <c r="D674" i="1"/>
  <c r="G986" i="1"/>
  <c r="G661" i="1"/>
  <c r="D1447" i="1"/>
  <c r="G382" i="1"/>
  <c r="G1360" i="1"/>
  <c r="G541" i="1"/>
  <c r="D170" i="1"/>
  <c r="D705" i="1"/>
  <c r="D839" i="1"/>
  <c r="G256" i="1"/>
  <c r="D617" i="1"/>
  <c r="D1470" i="1"/>
  <c r="G449" i="1"/>
  <c r="D1590" i="1"/>
  <c r="G525" i="1"/>
  <c r="D1239" i="1"/>
  <c r="D1326" i="1"/>
  <c r="D581" i="1"/>
  <c r="G1133" i="1"/>
  <c r="D1154" i="1"/>
  <c r="G553" i="1"/>
  <c r="D253" i="1"/>
  <c r="D1095" i="1"/>
  <c r="G832" i="1"/>
  <c r="G444" i="1"/>
  <c r="D1633" i="1"/>
  <c r="D1354" i="1"/>
  <c r="D998" i="1"/>
  <c r="G1512" i="1"/>
  <c r="D445" i="1"/>
  <c r="G1606" i="1"/>
  <c r="G1469" i="1"/>
  <c r="D1210" i="1"/>
  <c r="D177" i="1"/>
  <c r="G11" i="1"/>
  <c r="D1484" i="1"/>
  <c r="G266" i="1"/>
  <c r="G340" i="1"/>
  <c r="G941" i="1"/>
  <c r="G1300" i="1"/>
  <c r="G473" i="1"/>
  <c r="G392" i="1"/>
  <c r="G926" i="1"/>
  <c r="G623" i="1"/>
  <c r="D1448" i="1"/>
  <c r="G1025" i="1"/>
  <c r="D1243" i="1"/>
  <c r="G423" i="1"/>
  <c r="G562" i="1"/>
  <c r="D446" i="1"/>
  <c r="G861" i="1"/>
  <c r="D616" i="1"/>
  <c r="G1101" i="1"/>
  <c r="D86" i="1"/>
  <c r="D896" i="1"/>
  <c r="D1437" i="1"/>
  <c r="G1098" i="1"/>
  <c r="G884" i="1"/>
  <c r="G621" i="1"/>
  <c r="G393" i="1"/>
  <c r="D460" i="1"/>
  <c r="G1260" i="1"/>
  <c r="G1152" i="1"/>
  <c r="D1102" i="1"/>
  <c r="G963" i="1"/>
  <c r="G753" i="1"/>
  <c r="D1482" i="1"/>
  <c r="D608" i="1"/>
  <c r="D942" i="1"/>
  <c r="G450" i="1"/>
  <c r="D1644" i="1"/>
  <c r="G1695" i="1"/>
  <c r="G827" i="1"/>
  <c r="G616" i="1"/>
  <c r="G4" i="2"/>
  <c r="G599" i="1"/>
  <c r="D1165" i="1"/>
  <c r="G1173" i="1"/>
  <c r="D1743" i="1"/>
  <c r="D621" i="1"/>
  <c r="G1505" i="1"/>
  <c r="G432" i="1"/>
  <c r="G1647" i="1"/>
  <c r="D1172" i="1"/>
  <c r="D832" i="1"/>
  <c r="G990" i="1"/>
  <c r="D556" i="1"/>
  <c r="D231" i="1"/>
  <c r="D587" i="1"/>
  <c r="D742" i="1"/>
  <c r="G625" i="1"/>
  <c r="D576" i="1"/>
  <c r="G1147" i="1"/>
  <c r="D589" i="1"/>
  <c r="D1184" i="1"/>
  <c r="G404" i="1"/>
  <c r="D560" i="1"/>
  <c r="G631" i="1"/>
  <c r="D1611" i="1"/>
  <c r="G1547" i="1"/>
  <c r="G833" i="1"/>
  <c r="D132" i="1"/>
  <c r="D301" i="1"/>
  <c r="G163" i="1"/>
  <c r="D1371" i="1"/>
  <c r="G1761" i="1"/>
  <c r="D1460" i="1"/>
  <c r="D975" i="1"/>
  <c r="G1480" i="1"/>
  <c r="G734" i="1"/>
  <c r="D878" i="1"/>
  <c r="G613" i="1"/>
  <c r="D906" i="1"/>
  <c r="G276" i="1"/>
  <c r="G800" i="1"/>
  <c r="D1054" i="1"/>
  <c r="D1030" i="1"/>
  <c r="G1450" i="1"/>
  <c r="G161" i="1"/>
  <c r="G270" i="1"/>
  <c r="D296" i="1"/>
  <c r="D670" i="1"/>
  <c r="D736" i="1"/>
  <c r="G777" i="1"/>
  <c r="D852" i="1"/>
  <c r="G1643" i="1"/>
  <c r="D512" i="1"/>
  <c r="G584" i="1"/>
  <c r="D703" i="1"/>
  <c r="D1554" i="1"/>
  <c r="G1282" i="1"/>
  <c r="G1011" i="1"/>
  <c r="G567" i="1"/>
  <c r="G1399" i="1"/>
  <c r="G1656" i="1"/>
  <c r="G1355" i="1"/>
  <c r="D1748" i="1"/>
  <c r="G209" i="1"/>
  <c r="G1009" i="1"/>
  <c r="D1638" i="1"/>
  <c r="G155" i="1"/>
  <c r="D532" i="1"/>
  <c r="D1636" i="1"/>
  <c r="G1028" i="1"/>
  <c r="G12" i="1"/>
  <c r="D95" i="1"/>
  <c r="G812" i="1"/>
  <c r="G127" i="1"/>
  <c r="G632" i="1"/>
  <c r="G465" i="1"/>
  <c r="G544" i="1"/>
  <c r="D303" i="1"/>
  <c r="D990" i="1"/>
  <c r="D859" i="1"/>
  <c r="G1266" i="1"/>
  <c r="D1265" i="1"/>
  <c r="G181" i="1"/>
  <c r="G1629" i="1"/>
  <c r="D194" i="1"/>
  <c r="G1384" i="1"/>
  <c r="G149" i="1"/>
  <c r="D1291" i="1"/>
  <c r="G1334" i="1"/>
  <c r="D697" i="1"/>
  <c r="D443" i="1"/>
  <c r="D90" i="1"/>
  <c r="D624" i="1"/>
  <c r="G970" i="1"/>
  <c r="D682" i="1"/>
  <c r="D854" i="1"/>
  <c r="D1144" i="1"/>
  <c r="G994" i="1"/>
  <c r="G1394" i="1"/>
  <c r="G152" i="1"/>
  <c r="D1736" i="1"/>
  <c r="D1412" i="1"/>
  <c r="G1486" i="1"/>
  <c r="G506" i="1"/>
  <c r="G46" i="1"/>
  <c r="G731" i="1"/>
  <c r="G1451" i="1"/>
  <c r="D693" i="1"/>
  <c r="D267" i="1"/>
  <c r="G742" i="1"/>
  <c r="D470" i="1"/>
  <c r="G1030" i="1"/>
  <c r="G246" i="1"/>
  <c r="G549" i="1"/>
  <c r="D442" i="1"/>
  <c r="G608" i="1"/>
  <c r="G1666" i="1"/>
  <c r="G659" i="1"/>
  <c r="G195" i="1"/>
  <c r="G666" i="1"/>
  <c r="D1031" i="1"/>
  <c r="G1222" i="1"/>
  <c r="D923" i="1"/>
  <c r="D1322" i="1"/>
  <c r="D1018" i="1"/>
  <c r="D1316" i="1"/>
  <c r="G529" i="1"/>
  <c r="D1537" i="1"/>
  <c r="G894" i="1"/>
  <c r="G769" i="1"/>
  <c r="G1170" i="1"/>
  <c r="D987" i="1"/>
  <c r="D110" i="1"/>
  <c r="D1641" i="1"/>
  <c r="D151" i="1"/>
  <c r="G388" i="1"/>
  <c r="D1088" i="1"/>
  <c r="G380" i="1"/>
  <c r="D311" i="1"/>
  <c r="D1692" i="1"/>
  <c r="D363" i="1"/>
  <c r="G77" i="1"/>
  <c r="D36" i="1"/>
  <c r="D279" i="1"/>
  <c r="D600" i="1"/>
  <c r="D473" i="1"/>
  <c r="G90" i="1"/>
  <c r="D1568" i="1"/>
  <c r="G499" i="1"/>
  <c r="G497" i="1"/>
  <c r="D455" i="1"/>
  <c r="G1289" i="1"/>
  <c r="D468" i="1"/>
  <c r="D1024" i="1"/>
  <c r="D898" i="1"/>
  <c r="D934" i="1"/>
  <c r="D1203" i="1"/>
  <c r="D1222" i="1"/>
  <c r="G51" i="1"/>
  <c r="D958" i="1"/>
  <c r="D1558" i="1"/>
  <c r="G1440" i="1"/>
  <c r="D1668" i="1"/>
  <c r="D756" i="1"/>
  <c r="G1042" i="1"/>
  <c r="D1577" i="1"/>
  <c r="G156" i="1"/>
  <c r="D462" i="1"/>
  <c r="D583" i="1"/>
  <c r="G1583" i="1"/>
  <c r="D292" i="1"/>
  <c r="D804" i="1"/>
  <c r="D1467" i="1"/>
  <c r="G1744" i="1"/>
  <c r="D1389" i="1"/>
  <c r="G1425" i="1"/>
  <c r="G973" i="1"/>
  <c r="D1026" i="1"/>
  <c r="G1248" i="1"/>
  <c r="G1088" i="1"/>
  <c r="G637" i="1"/>
  <c r="D1238" i="1"/>
  <c r="G804" i="1"/>
  <c r="D627" i="1"/>
  <c r="G300" i="1"/>
  <c r="G624" i="1"/>
  <c r="G1236" i="1"/>
  <c r="G1284" i="1"/>
  <c r="G1470" i="1"/>
  <c r="D9" i="1"/>
  <c r="D1514" i="1"/>
  <c r="D658" i="1"/>
  <c r="D361" i="1"/>
  <c r="G946" i="1"/>
  <c r="D281" i="1"/>
  <c r="D334" i="1"/>
  <c r="G796" i="1"/>
  <c r="D1311" i="1"/>
  <c r="G394" i="1"/>
  <c r="D22" i="1"/>
  <c r="G1244" i="1"/>
  <c r="D1339" i="1"/>
  <c r="D304" i="1"/>
  <c r="G249" i="1"/>
  <c r="G697" i="1"/>
  <c r="G823" i="1"/>
  <c r="G1240" i="1"/>
  <c r="D883" i="1"/>
  <c r="G575" i="1"/>
  <c r="G1070" i="1"/>
  <c r="G821" i="1"/>
  <c r="G1309" i="1"/>
  <c r="D1337" i="1"/>
  <c r="D8" i="1"/>
  <c r="G1192" i="1"/>
  <c r="G214" i="1"/>
  <c r="D82" i="1"/>
  <c r="D1661" i="1"/>
  <c r="D603" i="1"/>
  <c r="D965" i="1"/>
  <c r="K9" i="1"/>
  <c r="D672" i="1"/>
  <c r="G1288" i="1"/>
  <c r="D1325" i="1"/>
  <c r="D1074" i="1"/>
  <c r="G1033" i="1"/>
  <c r="G1128" i="1"/>
  <c r="G10" i="1"/>
  <c r="G289" i="1"/>
  <c r="G1586" i="1"/>
  <c r="D395" i="1"/>
  <c r="G1675" i="1"/>
  <c r="G682" i="1"/>
  <c r="G645" i="1"/>
  <c r="D350" i="1"/>
  <c r="D1588" i="1"/>
  <c r="G920" i="1"/>
  <c r="G1212" i="1"/>
  <c r="G723" i="1"/>
  <c r="D182" i="1"/>
  <c r="G219" i="1"/>
  <c r="D158" i="1"/>
  <c r="D265" i="1"/>
  <c r="G786" i="1"/>
  <c r="G1199" i="1"/>
  <c r="D874" i="1"/>
  <c r="D1246" i="1"/>
  <c r="G53" i="1"/>
  <c r="G52" i="1"/>
  <c r="D817" i="1"/>
  <c r="D1139" i="1"/>
  <c r="G1332" i="1"/>
  <c r="G385" i="1"/>
  <c r="D1068" i="1"/>
  <c r="G1235" i="1"/>
  <c r="G927" i="1"/>
  <c r="D1374" i="1"/>
  <c r="D203" i="1"/>
  <c r="G758" i="1"/>
  <c r="D970" i="1"/>
  <c r="G285" i="1"/>
  <c r="D1130" i="1"/>
  <c r="G79" i="1"/>
  <c r="D133" i="1"/>
  <c r="D1526" i="1"/>
  <c r="D619" i="1"/>
  <c r="G1019" i="1"/>
  <c r="G1685" i="1"/>
  <c r="G353" i="1"/>
  <c r="G1679" i="1"/>
  <c r="D360" i="1"/>
  <c r="G1209" i="1"/>
  <c r="D102" i="1"/>
  <c r="G193" i="1"/>
  <c r="G1061" i="1"/>
  <c r="G1135" i="1"/>
  <c r="G1390" i="1"/>
  <c r="D1272" i="1"/>
  <c r="D902" i="1"/>
  <c r="D1725" i="1"/>
  <c r="G1338" i="1"/>
  <c r="G708" i="1"/>
  <c r="G1578" i="1"/>
  <c r="G1382" i="1"/>
  <c r="D794" i="1"/>
  <c r="D1353" i="1"/>
  <c r="G793" i="1"/>
  <c r="G1155" i="1"/>
  <c r="G452" i="1"/>
  <c r="G4" i="1"/>
  <c r="D833" i="1"/>
  <c r="G1369" i="1"/>
  <c r="G469" i="1"/>
  <c r="G885" i="1"/>
  <c r="D888" i="1"/>
  <c r="G919" i="1"/>
  <c r="G1468" i="1"/>
  <c r="D298" i="1"/>
  <c r="G580" i="1"/>
  <c r="G592" i="1"/>
  <c r="D354" i="1"/>
  <c r="G1367" i="1"/>
  <c r="G1210" i="1"/>
  <c r="D1392" i="1"/>
  <c r="D786" i="1"/>
  <c r="G1080" i="1"/>
  <c r="G1690" i="1"/>
  <c r="D695" i="1"/>
  <c r="D574" i="1"/>
  <c r="D333" i="1"/>
  <c r="G1258" i="1"/>
  <c r="G1720" i="1"/>
  <c r="D978" i="1"/>
  <c r="G534" i="1"/>
  <c r="D1503" i="1"/>
  <c r="D971" i="1"/>
  <c r="D1345" i="1"/>
  <c r="D383" i="1"/>
  <c r="G571" i="1"/>
  <c r="G1422" i="1"/>
  <c r="D1236" i="1"/>
  <c r="D1098" i="1"/>
  <c r="D314" i="1"/>
  <c r="D652" i="1"/>
  <c r="G355" i="1"/>
  <c r="D889" i="1"/>
  <c r="D1053" i="1"/>
  <c r="G117" i="1"/>
  <c r="G858" i="1"/>
  <c r="D650" i="1"/>
  <c r="G651" i="1"/>
  <c r="D326" i="1"/>
  <c r="G1567" i="1"/>
  <c r="G1473" i="1"/>
  <c r="G1447" i="1"/>
  <c r="G352" i="1"/>
  <c r="G826" i="1"/>
  <c r="G33" i="1"/>
  <c r="G1528" i="1"/>
  <c r="D1670" i="1"/>
  <c r="D16" i="1"/>
  <c r="D322" i="1"/>
  <c r="D1497" i="1"/>
  <c r="D1540" i="1"/>
  <c r="D881" i="1"/>
  <c r="D733" i="1"/>
  <c r="G225" i="1"/>
  <c r="D793" i="1"/>
  <c r="D89" i="1"/>
  <c r="G1653" i="1"/>
  <c r="G953" i="1"/>
  <c r="G1320" i="1"/>
  <c r="G1669" i="1"/>
  <c r="G85" i="1"/>
  <c r="D1155" i="1"/>
  <c r="G1412" i="1"/>
  <c r="G1351" i="1"/>
  <c r="G1195" i="1"/>
  <c r="D522" i="1"/>
  <c r="D475" i="1"/>
  <c r="D1186" i="1"/>
  <c r="D707" i="1"/>
  <c r="D1664" i="1"/>
  <c r="G817" i="1"/>
  <c r="D1108" i="1"/>
  <c r="D1649" i="1"/>
  <c r="G1051" i="1"/>
  <c r="G1497" i="1"/>
  <c r="D189" i="1"/>
  <c r="D387" i="1"/>
  <c r="G61" i="1"/>
  <c r="D892" i="1"/>
  <c r="D1089" i="1"/>
  <c r="D1011" i="1"/>
  <c r="G251" i="1"/>
  <c r="D992" i="1"/>
  <c r="D294" i="1"/>
  <c r="G1073" i="1"/>
  <c r="D1271" i="1"/>
  <c r="G6" i="1"/>
  <c r="D1167" i="1"/>
  <c r="D1756" i="1"/>
  <c r="G819" i="1"/>
  <c r="D23" i="1"/>
  <c r="D227" i="1"/>
  <c r="G183" i="1"/>
  <c r="D373" i="1"/>
  <c r="D406" i="1"/>
  <c r="D372" i="1"/>
  <c r="G196" i="1"/>
  <c r="D1004" i="1"/>
  <c r="D1166" i="1"/>
  <c r="D565" i="1"/>
  <c r="G566" i="1"/>
  <c r="G89" i="1"/>
  <c r="D1536" i="1"/>
  <c r="G1141" i="1"/>
  <c r="D1505" i="1"/>
  <c r="G1427" i="1"/>
  <c r="D819" i="1"/>
  <c r="G822" i="1"/>
  <c r="D112" i="1"/>
  <c r="D5" i="1"/>
  <c r="D1231" i="1"/>
  <c r="G405" i="1"/>
  <c r="D431" i="1"/>
  <c r="G1464" i="1"/>
  <c r="G1587" i="1"/>
  <c r="D18" i="1"/>
  <c r="G477" i="1"/>
  <c r="D1652" i="1"/>
  <c r="G1158" i="1"/>
  <c r="G446" i="1"/>
  <c r="G1593" i="1"/>
  <c r="G104" i="1"/>
  <c r="D134" i="1"/>
  <c r="G1022" i="1"/>
  <c r="G1580" i="1"/>
  <c r="G1757" i="1"/>
  <c r="D963" i="1"/>
  <c r="G1589" i="1"/>
  <c r="G1678" i="1"/>
  <c r="D1218" i="1"/>
  <c r="D714" i="1"/>
  <c r="D1168" i="1"/>
  <c r="D822" i="1"/>
  <c r="D944" i="1"/>
  <c r="D1587" i="1"/>
  <c r="D20" i="1"/>
  <c r="D49" i="1"/>
  <c r="G1264" i="1"/>
  <c r="G1674" i="1"/>
  <c r="D807" i="1"/>
  <c r="G1255" i="1"/>
  <c r="G732" i="1"/>
  <c r="G1619" i="1"/>
  <c r="D760" i="1"/>
  <c r="D1090" i="1"/>
  <c r="D850" i="1"/>
  <c r="D1421" i="1"/>
  <c r="D1327" i="1"/>
  <c r="G922" i="1"/>
  <c r="D632" i="1"/>
  <c r="D1519" i="1"/>
  <c r="G1109" i="1"/>
  <c r="G996" i="1"/>
  <c r="D679" i="1"/>
  <c r="G343" i="1"/>
  <c r="D51" i="1"/>
  <c r="G1614" i="1"/>
  <c r="G263" i="1"/>
  <c r="G1714" i="1"/>
  <c r="D623" i="1"/>
  <c r="G383" i="1"/>
  <c r="D1751" i="1"/>
  <c r="D485" i="1"/>
  <c r="G37" i="1"/>
  <c r="G993" i="1"/>
  <c r="G1601" i="1"/>
  <c r="G1608" i="1"/>
  <c r="D1048" i="1"/>
  <c r="G901" i="1"/>
  <c r="D377" i="1"/>
  <c r="G1193" i="1"/>
  <c r="G125" i="1"/>
  <c r="G865" i="1"/>
  <c r="D287" i="1"/>
  <c r="G284" i="1"/>
  <c r="G167" i="1"/>
  <c r="D1146" i="1"/>
  <c r="D319" i="1"/>
  <c r="G1526" i="1"/>
  <c r="G960" i="1"/>
  <c r="D1002" i="1"/>
  <c r="D1145" i="1"/>
  <c r="D1202" i="1"/>
  <c r="G1327" i="1"/>
  <c r="D1046" i="1"/>
  <c r="G916" i="1"/>
  <c r="D1247" i="1"/>
  <c r="G1760" i="1"/>
  <c r="G414" i="1"/>
  <c r="D1293" i="1"/>
  <c r="D955" i="1"/>
  <c r="D62" i="1"/>
  <c r="G1642" i="1"/>
  <c r="D212" i="1"/>
  <c r="G1565" i="1"/>
  <c r="D604" i="1"/>
  <c r="G576" i="1"/>
  <c r="D79" i="1"/>
  <c r="G1179" i="1"/>
  <c r="G976" i="1"/>
  <c r="D1096" i="1"/>
  <c r="D142" i="1"/>
  <c r="D1634" i="1"/>
  <c r="G614" i="1"/>
  <c r="D1749" i="1"/>
  <c r="D76" i="1"/>
  <c r="D58" i="1"/>
  <c r="G519" i="1"/>
  <c r="D206" i="1"/>
  <c r="D1589" i="1"/>
  <c r="D181" i="1"/>
  <c r="G583" i="1"/>
  <c r="G1545" i="1"/>
  <c r="D900" i="1"/>
  <c r="D1288" i="1"/>
  <c r="D979" i="1"/>
  <c r="G687" i="1"/>
  <c r="D927" i="1"/>
  <c r="D1037" i="1"/>
  <c r="D1142" i="1"/>
  <c r="G107" i="1"/>
  <c r="D1678" i="1"/>
  <c r="G13" i="1"/>
  <c r="D459" i="1"/>
  <c r="D851" i="1"/>
  <c r="D1567" i="1"/>
  <c r="D433" i="1"/>
  <c r="D1662" i="1"/>
  <c r="G1453" i="1"/>
  <c r="G102" i="1"/>
  <c r="G1536" i="1"/>
  <c r="D1604" i="1"/>
  <c r="D1150" i="1"/>
  <c r="G1295" i="1"/>
  <c r="D1341" i="1"/>
  <c r="G30" i="1"/>
  <c r="D1431" i="1"/>
  <c r="D103" i="1"/>
  <c r="D329" i="1"/>
  <c r="D1511" i="1"/>
  <c r="G87" i="1"/>
  <c r="D610" i="1"/>
  <c r="D208" i="1"/>
  <c r="G460" i="1"/>
  <c r="G1242" i="1"/>
  <c r="G524" i="1"/>
  <c r="D394" i="1"/>
  <c r="G311" i="1"/>
  <c r="G783" i="1"/>
  <c r="D335" i="1"/>
  <c r="D1599" i="1"/>
  <c r="G1581" i="1"/>
  <c r="G328" i="1"/>
  <c r="D712" i="1"/>
  <c r="G702" i="1"/>
  <c r="G803" i="1"/>
  <c r="G166" i="1"/>
  <c r="G1354" i="1"/>
  <c r="D552" i="1"/>
  <c r="D528" i="1"/>
  <c r="D193" i="1"/>
  <c r="D1601" i="1"/>
  <c r="G1738" i="1"/>
  <c r="D974" i="1"/>
  <c r="D645" i="1"/>
  <c r="D510" i="1"/>
  <c r="G154" i="1"/>
  <c r="G258" i="1"/>
  <c r="G169" i="1"/>
  <c r="G1198" i="1"/>
  <c r="D1198" i="1"/>
  <c r="G59" i="1"/>
  <c r="D1550" i="1"/>
  <c r="G679" i="1"/>
  <c r="D234" i="1"/>
  <c r="D1726" i="1"/>
  <c r="G1103" i="1"/>
  <c r="G378" i="1"/>
  <c r="G1208" i="1"/>
  <c r="G1263" i="1"/>
  <c r="G557" i="1"/>
  <c r="D262" i="1"/>
  <c r="D1148" i="1"/>
  <c r="G331" i="1"/>
  <c r="D685" i="1"/>
  <c r="D471" i="1"/>
  <c r="G317" i="1"/>
  <c r="D389" i="1"/>
  <c r="D278" i="1"/>
  <c r="D551" i="1"/>
</calcChain>
</file>

<file path=xl/sharedStrings.xml><?xml version="1.0" encoding="utf-8"?>
<sst xmlns="http://schemas.openxmlformats.org/spreadsheetml/2006/main" count="39" uniqueCount="33">
  <si>
    <t>Date</t>
  </si>
  <si>
    <t>Dividends</t>
  </si>
  <si>
    <t>Total Debt</t>
  </si>
  <si>
    <t>Total Equity</t>
  </si>
  <si>
    <t>Total Asset</t>
  </si>
  <si>
    <t>S&amp;P 500 Close</t>
  </si>
  <si>
    <t>Stock Close</t>
  </si>
  <si>
    <t>Data Source: Yahoo! Finance</t>
  </si>
  <si>
    <t>Data Source: macrotrends.net</t>
  </si>
  <si>
    <t>In this spreadsheet, we estimate the stock price of Consolidated Edison for 2026 with (a) constant-growth model and (b) P/E ratio.</t>
  </si>
  <si>
    <t>PE CURRENT Ratio</t>
  </si>
  <si>
    <t>Estimated Earning  2026</t>
  </si>
  <si>
    <t>ED Return</t>
  </si>
  <si>
    <t>Risk-free rate:</t>
  </si>
  <si>
    <t>Beta: (slope function)</t>
  </si>
  <si>
    <t xml:space="preserve">Average annual return of market </t>
  </si>
  <si>
    <t>Required Rate of Return (CAPM)</t>
  </si>
  <si>
    <t>Year</t>
  </si>
  <si>
    <t>Annual dividned per share (DPS)</t>
  </si>
  <si>
    <t>Annaul Dividend Growth Rate</t>
  </si>
  <si>
    <t>Average CURRENT  P/E Ratio</t>
  </si>
  <si>
    <t>Constant-growth model</t>
  </si>
  <si>
    <t>Dividend per share in 2024</t>
  </si>
  <si>
    <t>Required Rate of Return</t>
  </si>
  <si>
    <t>Annual dividend growth rate</t>
  </si>
  <si>
    <t>Projected dividend for 2027</t>
  </si>
  <si>
    <t>P/E ratio</t>
  </si>
  <si>
    <t>Trailing Average P/E Ratio</t>
  </si>
  <si>
    <t>Earning Estimate 2025</t>
  </si>
  <si>
    <t>Value of the stock in 2026 using P/E ratio</t>
  </si>
  <si>
    <t>Value of the stock in 2026 using Constant Growth Model</t>
  </si>
  <si>
    <t>average daily return</t>
  </si>
  <si>
    <t>Leverage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</si>
</sst>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\-yy;@"/>
    <numFmt numFmtId="165" formatCode="#,##0.0"/>
    <numFmt numFmtId="166" formatCode="0.0"/>
    <numFmt numFmtId="167" formatCode="0.00000"/>
    <numFmt numFmtId="168" formatCode="0.000%"/>
    <numFmt numFmtId="169" formatCode="0.00000%"/>
    <numFmt numFmtId="170" formatCode="0.000000"/>
  </numFmts>
  <fonts count="1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000000"/>
      <name val="Helvetica Neue"/>
      <family val="2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rgb="FF000000"/>
      <name val="Helvetica Neue"/>
      <family val="2"/>
    </font>
    <font>
      <sz val="14"/>
      <color rgb="FF000000"/>
      <name val="Helvetica Neue"/>
      <family val="2"/>
    </font>
    <font>
      <sz val="2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Roboto"/>
    </font>
    <font>
      <sz val="12"/>
      <color theme="1"/>
      <name val="Roboto"/>
    </font>
    <font>
      <b/>
      <sz val="7"/>
      <color rgb="FF444444"/>
      <name val="Roboto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</borders>
  <cellStyleXfs count="4">
    <xf numFmtId="0" fontId="0" fillId="0" borderId="0"/>
    <xf numFmtId="0" fontId="2" fillId="0" borderId="0"/>
    <xf numFmtId="165" fontId="13" fillId="5" borderId="2">
      <alignment horizontal="right"/>
    </xf>
    <xf numFmtId="9" fontId="14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14" fontId="7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0" xfId="1"/>
    <xf numFmtId="0" fontId="10" fillId="0" borderId="0" xfId="0" applyFont="1" applyAlignment="1">
      <alignment vertical="center" wrapText="1"/>
    </xf>
    <xf numFmtId="0" fontId="1" fillId="0" borderId="0" xfId="1" applyFont="1"/>
    <xf numFmtId="2" fontId="2" fillId="0" borderId="0" xfId="1" applyNumberFormat="1"/>
    <xf numFmtId="14" fontId="9" fillId="0" borderId="0" xfId="0" applyNumberFormat="1" applyFont="1"/>
    <xf numFmtId="0" fontId="9" fillId="0" borderId="0" xfId="0" applyFont="1" applyAlignment="1">
      <alignment wrapText="1"/>
    </xf>
    <xf numFmtId="14" fontId="0" fillId="0" borderId="0" xfId="0" applyNumberFormat="1"/>
    <xf numFmtId="15" fontId="12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9" fillId="0" borderId="0" xfId="0" applyFont="1" applyAlignment="1">
      <alignment horizontal="center"/>
    </xf>
    <xf numFmtId="0" fontId="3" fillId="6" borderId="0" xfId="0" applyFont="1" applyFill="1"/>
    <xf numFmtId="10" fontId="3" fillId="6" borderId="0" xfId="0" applyNumberFormat="1" applyFont="1" applyFill="1"/>
    <xf numFmtId="167" fontId="3" fillId="6" borderId="0" xfId="0" applyNumberFormat="1" applyFont="1" applyFill="1"/>
    <xf numFmtId="1" fontId="5" fillId="0" borderId="0" xfId="0" applyNumberFormat="1" applyFont="1"/>
    <xf numFmtId="166" fontId="0" fillId="0" borderId="0" xfId="0" applyNumberFormat="1"/>
    <xf numFmtId="0" fontId="0" fillId="6" borderId="0" xfId="0" applyFill="1"/>
    <xf numFmtId="169" fontId="0" fillId="0" borderId="0" xfId="3" applyNumberFormat="1" applyFont="1"/>
    <xf numFmtId="0" fontId="9" fillId="6" borderId="0" xfId="0" applyFont="1" applyFill="1"/>
    <xf numFmtId="170" fontId="9" fillId="6" borderId="0" xfId="0" applyNumberFormat="1" applyFont="1" applyFill="1"/>
    <xf numFmtId="0" fontId="9" fillId="2" borderId="0" xfId="0" applyFont="1" applyFill="1"/>
    <xf numFmtId="168" fontId="3" fillId="6" borderId="0" xfId="3" applyNumberFormat="1" applyFont="1" applyFill="1"/>
    <xf numFmtId="0" fontId="3" fillId="6" borderId="0" xfId="3" applyNumberFormat="1" applyFont="1" applyFill="1"/>
    <xf numFmtId="164" fontId="3" fillId="0" borderId="1" xfId="0" applyNumberFormat="1" applyFont="1" applyBorder="1"/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6" borderId="0" xfId="3" applyNumberFormat="1" applyFont="1" applyFill="1"/>
    <xf numFmtId="0" fontId="16" fillId="0" borderId="3" xfId="0" applyFont="1" applyBorder="1" applyAlignment="1">
      <alignment horizontal="center" wrapText="1"/>
    </xf>
    <xf numFmtId="14" fontId="17" fillId="0" borderId="4" xfId="0" applyNumberFormat="1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9" fillId="7" borderId="0" xfId="0" applyFont="1" applyFill="1" applyAlignment="1">
      <alignment horizontal="center"/>
    </xf>
  </cellXfs>
  <cellStyles count="4">
    <cellStyle name="fa_data_current_standard_1_grouped" xfId="2" xr:uid="{5311AE7F-15FE-43DA-9FED-9ED4A349331B}"/>
    <cellStyle name="Normal" xfId="0" builtinId="0"/>
    <cellStyle name="Normal 2" xfId="1" xr:uid="{00000000-0005-0000-0000-00002F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0939854183525E-2"/>
          <c:y val="0.10609128016679673"/>
          <c:w val="0.94123090557717204"/>
          <c:h val="0.77217643734338404"/>
        </c:manualLayout>
      </c:layout>
      <c:lineChart>
        <c:grouping val="standard"/>
        <c:varyColors val="0"/>
        <c:ser>
          <c:idx val="0"/>
          <c:order val="0"/>
          <c:tx>
            <c:strRef>
              <c:f>'Dividends and Growth Rate'!$B$1</c:f>
              <c:strCache>
                <c:ptCount val="1"/>
                <c:pt idx="0">
                  <c:v>Dividends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'Dividends and Growth Rate'!$A$2:$A$29</c:f>
              <c:numCache>
                <c:formatCode>m/d/yyyy</c:formatCode>
                <c:ptCount val="28"/>
                <c:pt idx="0">
                  <c:v>43150</c:v>
                </c:pt>
                <c:pt idx="1">
                  <c:v>43237</c:v>
                </c:pt>
                <c:pt idx="2">
                  <c:v>43328</c:v>
                </c:pt>
                <c:pt idx="3">
                  <c:v>43419</c:v>
                </c:pt>
                <c:pt idx="4">
                  <c:v>43522</c:v>
                </c:pt>
                <c:pt idx="5">
                  <c:v>43608</c:v>
                </c:pt>
                <c:pt idx="6">
                  <c:v>43699</c:v>
                </c:pt>
                <c:pt idx="7">
                  <c:v>43790</c:v>
                </c:pt>
                <c:pt idx="8">
                  <c:v>43886</c:v>
                </c:pt>
                <c:pt idx="9">
                  <c:v>43970</c:v>
                </c:pt>
                <c:pt idx="10">
                  <c:v>44061</c:v>
                </c:pt>
                <c:pt idx="11">
                  <c:v>44154</c:v>
                </c:pt>
                <c:pt idx="12">
                  <c:v>44250</c:v>
                </c:pt>
                <c:pt idx="13">
                  <c:v>44336</c:v>
                </c:pt>
                <c:pt idx="14">
                  <c:v>44427</c:v>
                </c:pt>
                <c:pt idx="15">
                  <c:v>44518</c:v>
                </c:pt>
                <c:pt idx="16">
                  <c:v>44614</c:v>
                </c:pt>
                <c:pt idx="17">
                  <c:v>44700</c:v>
                </c:pt>
                <c:pt idx="18">
                  <c:v>44791</c:v>
                </c:pt>
                <c:pt idx="19">
                  <c:v>44882</c:v>
                </c:pt>
                <c:pt idx="20">
                  <c:v>44978</c:v>
                </c:pt>
                <c:pt idx="21">
                  <c:v>45064</c:v>
                </c:pt>
                <c:pt idx="22">
                  <c:v>45155</c:v>
                </c:pt>
                <c:pt idx="23">
                  <c:v>45246</c:v>
                </c:pt>
                <c:pt idx="24">
                  <c:v>45342</c:v>
                </c:pt>
                <c:pt idx="25">
                  <c:v>45428</c:v>
                </c:pt>
                <c:pt idx="26">
                  <c:v>45519</c:v>
                </c:pt>
                <c:pt idx="27">
                  <c:v>45610</c:v>
                </c:pt>
              </c:numCache>
            </c:numRef>
          </c:cat>
          <c:val>
            <c:numRef>
              <c:f>'Dividends and Growth Rate'!$B$2:$B$29</c:f>
              <c:numCache>
                <c:formatCode>General</c:formatCode>
                <c:ptCount val="28"/>
                <c:pt idx="0">
                  <c:v>1.03</c:v>
                </c:pt>
                <c:pt idx="1">
                  <c:v>1.03</c:v>
                </c:pt>
                <c:pt idx="2">
                  <c:v>1.03</c:v>
                </c:pt>
                <c:pt idx="3">
                  <c:v>1.03</c:v>
                </c:pt>
                <c:pt idx="4">
                  <c:v>1.36</c:v>
                </c:pt>
                <c:pt idx="5">
                  <c:v>1.36</c:v>
                </c:pt>
                <c:pt idx="6">
                  <c:v>1.36</c:v>
                </c:pt>
                <c:pt idx="7">
                  <c:v>1.36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1.65</c:v>
                </c:pt>
                <c:pt idx="16">
                  <c:v>1.9</c:v>
                </c:pt>
                <c:pt idx="17">
                  <c:v>1.9</c:v>
                </c:pt>
                <c:pt idx="18">
                  <c:v>1.9</c:v>
                </c:pt>
                <c:pt idx="19">
                  <c:v>1.9</c:v>
                </c:pt>
                <c:pt idx="20">
                  <c:v>2.09</c:v>
                </c:pt>
                <c:pt idx="21">
                  <c:v>2.09</c:v>
                </c:pt>
                <c:pt idx="22">
                  <c:v>2.09</c:v>
                </c:pt>
                <c:pt idx="23">
                  <c:v>2.09</c:v>
                </c:pt>
                <c:pt idx="24">
                  <c:v>2.25</c:v>
                </c:pt>
                <c:pt idx="25">
                  <c:v>2.25</c:v>
                </c:pt>
                <c:pt idx="26">
                  <c:v>2.25</c:v>
                </c:pt>
                <c:pt idx="27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1-40D6-BF10-5E3A23389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049184"/>
        <c:axId val="522046304"/>
      </c:lineChart>
      <c:dateAx>
        <c:axId val="52204918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46304"/>
        <c:crosses val="autoZero"/>
        <c:auto val="1"/>
        <c:lblOffset val="100"/>
        <c:baseTimeUnit val="months"/>
      </c:dateAx>
      <c:valAx>
        <c:axId val="52204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4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 Ratio 2021-2024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'Leverage Ratio'!$B$2:$B$5</c:f>
              <c:numCache>
                <c:formatCode>[$-409]d\-mmm\-yy;@</c:formatCode>
                <c:ptCount val="4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</c:numCache>
            </c:numRef>
          </c:cat>
          <c:val>
            <c:numRef>
              <c:f>'Leverage Ratio'!$F$2:$F$5</c:f>
              <c:numCache>
                <c:formatCode>General</c:formatCode>
                <c:ptCount val="4"/>
                <c:pt idx="0">
                  <c:v>0.56824774598196781</c:v>
                </c:pt>
                <c:pt idx="1">
                  <c:v>0.60784878016874877</c:v>
                </c:pt>
                <c:pt idx="2">
                  <c:v>0.70392064110412378</c:v>
                </c:pt>
                <c:pt idx="3">
                  <c:v>0.74398209149771188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B-4DD0-AF5C-7DD8A0103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325856"/>
        <c:axId val="936321536"/>
      </c:lineChart>
      <c:dateAx>
        <c:axId val="936325856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21536"/>
        <c:crosses val="autoZero"/>
        <c:auto val="1"/>
        <c:lblOffset val="100"/>
        <c:baseTimeUnit val="years"/>
      </c:dateAx>
      <c:valAx>
        <c:axId val="93632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2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107736</xdr:colOff>
      <xdr:row>11</xdr:row>
      <xdr:rowOff>44662</xdr:rowOff>
    </xdr:from>
    <xdr:to>
      <xdr:col>9</xdr:col>
      <xdr:colOff>428090</xdr:colOff>
      <xdr:row>25</xdr:row>
      <xdr:rowOff>249719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1625600</xdr:colOff>
      <xdr:row>10</xdr:row>
      <xdr:rowOff>146050</xdr:rowOff>
    </xdr:from>
    <xdr:to>
      <xdr:col>6</xdr:col>
      <xdr:colOff>571500</xdr:colOff>
      <xdr:row>29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737809</xdr:colOff>
      <xdr:row>5</xdr:row>
      <xdr:rowOff>54429</xdr:rowOff>
    </xdr:from>
    <xdr:to>
      <xdr:col>6</xdr:col>
      <xdr:colOff>260503</xdr:colOff>
      <xdr:row>7</xdr:row>
      <xdr:rowOff>166461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86D371-4A60-4FB7-942F-F84F926BE3E7}"/>
            </a:ext>
          </a:extLst>
        </xdr:cNvPr>
        <xdr:cNvSpPr txBox="1"/>
      </xdr:nvSpPr>
      <xdr:spPr>
        <a:xfrm>
          <a:off x="737809" y="1439334"/>
          <a:ext cx="6804027" cy="5111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 b="1"/>
            <a:t>Leverage ratio = total debt (liabilities) /total  assets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4</xdr:col>
      <xdr:colOff>571500</xdr:colOff>
      <xdr:row>18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812800" y="2901950"/>
          <a:ext cx="10642600" cy="1638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stock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of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Home Depot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closed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at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$351.15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on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March 14,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2025.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Compared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to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2025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intrisic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value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of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$322.79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estimated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from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constant-growth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model,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stock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is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overvalued.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Therefore,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my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recommendation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for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stock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of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 Home Depot inc.is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"sell".</a:t>
          </a:r>
          <a:endParaRPr lang="en-US" sz="2000" b="0" i="0" u="none" strike="noStrike" baseline="0">
            <a:solidFill>
              <a:srgbClr val="000000"/>
            </a:solidFill>
            <a:latin typeface="Tahoma" pitchFamily="2" charset="0"/>
            <a:ea typeface="Tahoma" pitchFamily="2" charset="0"/>
            <a:cs typeface="Tahoma" pitchFamily="2" charset="0"/>
          </a:endParaRPr>
        </a:p>
        <a:p>
          <a:endParaRPr lang="en-US" sz="1800" b="1"/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4</xdr:col>
      <xdr:colOff>571500</xdr:colOff>
      <xdr:row>35</xdr:row>
      <xdr:rowOff>63500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12800" y="6915150"/>
          <a:ext cx="10642600" cy="1638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stock of Home Depot 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closed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at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$351.15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on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March 21, 2025.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Compared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to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2026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intrisic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value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of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$324.35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estimated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from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P/E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ratio,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stock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is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overvalued.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Therefore,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my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recommendation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for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stock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of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The Home depot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Inc.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is</a:t>
          </a:r>
          <a:r>
            <a:rPr lang="zh-CN" altLang="en-US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 </a:t>
          </a:r>
          <a:r>
            <a:rPr lang="en-US" altLang="zh-CN" sz="2000" b="0" i="0" u="none" strike="noStrike" baseline="0">
              <a:solidFill>
                <a:srgbClr val="000000"/>
              </a:solidFill>
              <a:latin typeface="Tahoma" pitchFamily="2" charset="0"/>
              <a:ea typeface="Tahoma" pitchFamily="2" charset="0"/>
              <a:cs typeface="Tahoma" pitchFamily="2" charset="0"/>
            </a:rPr>
            <a:t>"sell".</a:t>
          </a:r>
          <a:endParaRPr lang="en-US" sz="2000" b="0" i="0" u="none" strike="noStrike" baseline="0">
            <a:solidFill>
              <a:srgbClr val="000000"/>
            </a:solidFill>
            <a:latin typeface="Tahoma" pitchFamily="2" charset="0"/>
            <a:ea typeface="Tahoma" pitchFamily="2" charset="0"/>
            <a:cs typeface="Tahoma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Aman\Desktop\data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_price_daily"/>
      <sheetName val="S&amp;P500_DAILY"/>
      <sheetName val="Divident"/>
      <sheetName val="Balance sheet"/>
      <sheetName val="Current pe ratio"/>
      <sheetName val="Assets"/>
      <sheetName val="a"/>
    </sheetNames>
    <sheetDataSet>
      <sheetData sheetId="0">
        <row r="8">
          <cell r="A8">
            <v>45729</v>
          </cell>
          <cell r="B8">
            <v>347.25</v>
          </cell>
        </row>
        <row r="9">
          <cell r="A9">
            <v>45728</v>
          </cell>
          <cell r="B9">
            <v>364.73</v>
          </cell>
        </row>
        <row r="10">
          <cell r="A10">
            <v>45727</v>
          </cell>
          <cell r="B10">
            <v>368.16</v>
          </cell>
        </row>
        <row r="11">
          <cell r="A11">
            <v>45726</v>
          </cell>
          <cell r="B11">
            <v>374.65</v>
          </cell>
        </row>
        <row r="12">
          <cell r="A12">
            <v>45723</v>
          </cell>
          <cell r="B12">
            <v>376.8</v>
          </cell>
        </row>
        <row r="13">
          <cell r="A13">
            <v>45722</v>
          </cell>
          <cell r="B13">
            <v>381.73</v>
          </cell>
        </row>
        <row r="14">
          <cell r="A14">
            <v>45721</v>
          </cell>
          <cell r="B14">
            <v>386.35</v>
          </cell>
        </row>
        <row r="15">
          <cell r="A15">
            <v>45720</v>
          </cell>
          <cell r="B15">
            <v>381.68</v>
          </cell>
        </row>
        <row r="16">
          <cell r="A16">
            <v>45719</v>
          </cell>
          <cell r="B16">
            <v>389.69</v>
          </cell>
        </row>
        <row r="17">
          <cell r="A17">
            <v>45716</v>
          </cell>
          <cell r="B17">
            <v>396.6</v>
          </cell>
        </row>
        <row r="18">
          <cell r="A18">
            <v>45715</v>
          </cell>
          <cell r="B18">
            <v>390.27</v>
          </cell>
        </row>
        <row r="19">
          <cell r="A19">
            <v>45714</v>
          </cell>
          <cell r="B19">
            <v>390.48</v>
          </cell>
        </row>
        <row r="20">
          <cell r="A20">
            <v>45713</v>
          </cell>
          <cell r="B20">
            <v>393.29</v>
          </cell>
        </row>
        <row r="21">
          <cell r="A21">
            <v>45712</v>
          </cell>
          <cell r="B21">
            <v>382.42</v>
          </cell>
        </row>
        <row r="22">
          <cell r="A22">
            <v>45709</v>
          </cell>
          <cell r="B22">
            <v>385.3</v>
          </cell>
        </row>
        <row r="23">
          <cell r="A23">
            <v>45708</v>
          </cell>
          <cell r="B23">
            <v>394.64</v>
          </cell>
        </row>
        <row r="24">
          <cell r="A24">
            <v>45707</v>
          </cell>
          <cell r="B24">
            <v>395.43</v>
          </cell>
        </row>
        <row r="25">
          <cell r="A25">
            <v>45706</v>
          </cell>
          <cell r="B25">
            <v>403.31</v>
          </cell>
        </row>
        <row r="26">
          <cell r="A26">
            <v>45702</v>
          </cell>
          <cell r="B26">
            <v>409.5</v>
          </cell>
        </row>
        <row r="27">
          <cell r="A27">
            <v>45701</v>
          </cell>
          <cell r="B27">
            <v>412.43</v>
          </cell>
        </row>
        <row r="28">
          <cell r="A28">
            <v>45700</v>
          </cell>
          <cell r="B28">
            <v>407.14</v>
          </cell>
        </row>
        <row r="29">
          <cell r="A29">
            <v>45699</v>
          </cell>
          <cell r="B29">
            <v>416.36</v>
          </cell>
        </row>
        <row r="30">
          <cell r="A30">
            <v>45698</v>
          </cell>
          <cell r="B30">
            <v>413.99</v>
          </cell>
        </row>
        <row r="31">
          <cell r="A31">
            <v>45695</v>
          </cell>
          <cell r="B31">
            <v>407.37</v>
          </cell>
        </row>
        <row r="32">
          <cell r="A32">
            <v>45694</v>
          </cell>
          <cell r="B32">
            <v>414.16</v>
          </cell>
        </row>
        <row r="33">
          <cell r="A33">
            <v>45693</v>
          </cell>
          <cell r="B33">
            <v>413.82</v>
          </cell>
        </row>
        <row r="34">
          <cell r="A34">
            <v>45692</v>
          </cell>
          <cell r="B34">
            <v>411.49</v>
          </cell>
        </row>
        <row r="35">
          <cell r="A35">
            <v>45691</v>
          </cell>
          <cell r="B35">
            <v>408.76</v>
          </cell>
        </row>
        <row r="36">
          <cell r="A36">
            <v>45688</v>
          </cell>
          <cell r="B36">
            <v>411.98</v>
          </cell>
        </row>
        <row r="37">
          <cell r="A37">
            <v>45687</v>
          </cell>
          <cell r="B37">
            <v>414.5</v>
          </cell>
        </row>
        <row r="38">
          <cell r="A38">
            <v>45686</v>
          </cell>
          <cell r="B38">
            <v>413.42</v>
          </cell>
        </row>
        <row r="39">
          <cell r="A39">
            <v>45685</v>
          </cell>
          <cell r="B39">
            <v>418.83</v>
          </cell>
        </row>
        <row r="40">
          <cell r="A40">
            <v>45684</v>
          </cell>
          <cell r="B40">
            <v>424.87</v>
          </cell>
        </row>
        <row r="41">
          <cell r="A41">
            <v>45681</v>
          </cell>
          <cell r="B41">
            <v>414.5</v>
          </cell>
        </row>
        <row r="42">
          <cell r="A42">
            <v>45680</v>
          </cell>
          <cell r="B42">
            <v>414.39</v>
          </cell>
        </row>
        <row r="43">
          <cell r="A43">
            <v>45679</v>
          </cell>
          <cell r="B43">
            <v>410.1</v>
          </cell>
        </row>
        <row r="44">
          <cell r="A44">
            <v>45678</v>
          </cell>
          <cell r="B44">
            <v>418.43</v>
          </cell>
        </row>
        <row r="45">
          <cell r="A45">
            <v>45674</v>
          </cell>
          <cell r="B45">
            <v>409.38</v>
          </cell>
        </row>
        <row r="46">
          <cell r="A46">
            <v>45673</v>
          </cell>
          <cell r="B46">
            <v>409.33</v>
          </cell>
        </row>
        <row r="47">
          <cell r="A47">
            <v>45672</v>
          </cell>
          <cell r="B47">
            <v>406.09</v>
          </cell>
        </row>
        <row r="48">
          <cell r="A48">
            <v>45671</v>
          </cell>
          <cell r="B48">
            <v>392.78</v>
          </cell>
        </row>
        <row r="49">
          <cell r="A49">
            <v>45670</v>
          </cell>
          <cell r="B49">
            <v>389.18</v>
          </cell>
        </row>
        <row r="50">
          <cell r="A50">
            <v>45667</v>
          </cell>
          <cell r="B50">
            <v>389.89</v>
          </cell>
        </row>
        <row r="51">
          <cell r="A51">
            <v>45665</v>
          </cell>
          <cell r="B51">
            <v>387.2</v>
          </cell>
        </row>
        <row r="52">
          <cell r="A52">
            <v>45664</v>
          </cell>
          <cell r="B52">
            <v>384.23</v>
          </cell>
        </row>
        <row r="53">
          <cell r="A53">
            <v>45663</v>
          </cell>
          <cell r="B53">
            <v>389.37</v>
          </cell>
        </row>
        <row r="54">
          <cell r="A54">
            <v>45660</v>
          </cell>
          <cell r="B54">
            <v>389.18</v>
          </cell>
        </row>
        <row r="55">
          <cell r="A55">
            <v>45659</v>
          </cell>
          <cell r="B55">
            <v>388.46</v>
          </cell>
        </row>
        <row r="56">
          <cell r="A56">
            <v>45657</v>
          </cell>
          <cell r="B56">
            <v>388.99</v>
          </cell>
        </row>
        <row r="57">
          <cell r="A57">
            <v>45656</v>
          </cell>
          <cell r="B57">
            <v>389.43</v>
          </cell>
        </row>
        <row r="58">
          <cell r="A58">
            <v>45653</v>
          </cell>
          <cell r="B58">
            <v>392.86</v>
          </cell>
        </row>
        <row r="59">
          <cell r="A59">
            <v>45652</v>
          </cell>
          <cell r="B59">
            <v>395.14</v>
          </cell>
        </row>
        <row r="60">
          <cell r="A60">
            <v>45650</v>
          </cell>
          <cell r="B60">
            <v>396.14</v>
          </cell>
        </row>
        <row r="61">
          <cell r="A61">
            <v>45649</v>
          </cell>
          <cell r="B61">
            <v>392.45</v>
          </cell>
        </row>
        <row r="62">
          <cell r="A62">
            <v>45646</v>
          </cell>
          <cell r="B62">
            <v>392.6</v>
          </cell>
        </row>
        <row r="63">
          <cell r="A63">
            <v>45645</v>
          </cell>
          <cell r="B63">
            <v>385.02</v>
          </cell>
        </row>
        <row r="64">
          <cell r="A64">
            <v>45644</v>
          </cell>
          <cell r="B64">
            <v>393.82</v>
          </cell>
        </row>
        <row r="65">
          <cell r="A65">
            <v>45643</v>
          </cell>
          <cell r="B65">
            <v>408.47</v>
          </cell>
        </row>
        <row r="66">
          <cell r="A66">
            <v>45642</v>
          </cell>
          <cell r="B66">
            <v>410.71</v>
          </cell>
        </row>
        <row r="67">
          <cell r="A67">
            <v>45639</v>
          </cell>
          <cell r="B67">
            <v>416.98</v>
          </cell>
        </row>
        <row r="68">
          <cell r="A68">
            <v>45638</v>
          </cell>
          <cell r="B68">
            <v>414.42</v>
          </cell>
        </row>
        <row r="69">
          <cell r="A69">
            <v>45637</v>
          </cell>
          <cell r="B69">
            <v>421.38</v>
          </cell>
        </row>
        <row r="70">
          <cell r="A70">
            <v>45636</v>
          </cell>
          <cell r="B70">
            <v>422.59</v>
          </cell>
        </row>
        <row r="71">
          <cell r="A71">
            <v>45635</v>
          </cell>
          <cell r="B71">
            <v>429.18</v>
          </cell>
        </row>
        <row r="72">
          <cell r="A72">
            <v>45632</v>
          </cell>
          <cell r="B72">
            <v>431.37</v>
          </cell>
        </row>
        <row r="73">
          <cell r="A73">
            <v>45631</v>
          </cell>
          <cell r="B73">
            <v>426.54</v>
          </cell>
        </row>
        <row r="74">
          <cell r="A74">
            <v>45630</v>
          </cell>
          <cell r="B74">
            <v>427.92</v>
          </cell>
        </row>
        <row r="75">
          <cell r="A75">
            <v>45629</v>
          </cell>
          <cell r="B75">
            <v>429.35</v>
          </cell>
        </row>
        <row r="76">
          <cell r="A76">
            <v>45628</v>
          </cell>
          <cell r="B76">
            <v>426.96</v>
          </cell>
        </row>
        <row r="77">
          <cell r="A77">
            <v>45625</v>
          </cell>
          <cell r="B77">
            <v>429.13</v>
          </cell>
        </row>
        <row r="78">
          <cell r="A78">
            <v>45623</v>
          </cell>
          <cell r="B78">
            <v>427.19</v>
          </cell>
        </row>
        <row r="79">
          <cell r="A79">
            <v>45622</v>
          </cell>
          <cell r="B79">
            <v>429.52</v>
          </cell>
        </row>
        <row r="80">
          <cell r="A80">
            <v>45621</v>
          </cell>
          <cell r="B80">
            <v>428.67</v>
          </cell>
        </row>
        <row r="81">
          <cell r="A81">
            <v>45618</v>
          </cell>
          <cell r="B81">
            <v>420</v>
          </cell>
        </row>
        <row r="82">
          <cell r="A82">
            <v>45617</v>
          </cell>
          <cell r="B82">
            <v>410.45</v>
          </cell>
        </row>
        <row r="83">
          <cell r="A83">
            <v>45616</v>
          </cell>
          <cell r="B83">
            <v>400</v>
          </cell>
        </row>
        <row r="84">
          <cell r="A84">
            <v>45615</v>
          </cell>
          <cell r="B84">
            <v>406.8</v>
          </cell>
        </row>
        <row r="85">
          <cell r="A85">
            <v>45614</v>
          </cell>
          <cell r="B85">
            <v>410.44</v>
          </cell>
        </row>
        <row r="86">
          <cell r="A86">
            <v>45611</v>
          </cell>
          <cell r="B86">
            <v>408.18</v>
          </cell>
        </row>
        <row r="87">
          <cell r="A87">
            <v>45610</v>
          </cell>
          <cell r="B87">
            <v>405.72</v>
          </cell>
        </row>
        <row r="88">
          <cell r="A88">
            <v>45609</v>
          </cell>
          <cell r="B88">
            <v>410.19</v>
          </cell>
        </row>
        <row r="89">
          <cell r="A89">
            <v>45608</v>
          </cell>
          <cell r="B89">
            <v>403.08</v>
          </cell>
        </row>
        <row r="90">
          <cell r="A90">
            <v>45607</v>
          </cell>
          <cell r="B90">
            <v>408.29</v>
          </cell>
        </row>
        <row r="91">
          <cell r="A91">
            <v>45604</v>
          </cell>
          <cell r="B91">
            <v>405.9</v>
          </cell>
        </row>
        <row r="92">
          <cell r="A92">
            <v>45603</v>
          </cell>
          <cell r="B92">
            <v>399.44</v>
          </cell>
        </row>
        <row r="93">
          <cell r="A93">
            <v>45602</v>
          </cell>
          <cell r="B93">
            <v>388.37</v>
          </cell>
        </row>
        <row r="94">
          <cell r="A94">
            <v>45601</v>
          </cell>
          <cell r="B94">
            <v>400.09</v>
          </cell>
        </row>
        <row r="95">
          <cell r="A95">
            <v>45600</v>
          </cell>
          <cell r="B95">
            <v>395.57</v>
          </cell>
        </row>
        <row r="96">
          <cell r="A96">
            <v>45597</v>
          </cell>
          <cell r="B96">
            <v>392.59</v>
          </cell>
        </row>
        <row r="97">
          <cell r="A97">
            <v>45596</v>
          </cell>
          <cell r="B97">
            <v>393.75</v>
          </cell>
        </row>
        <row r="98">
          <cell r="A98">
            <v>45595</v>
          </cell>
          <cell r="B98">
            <v>392.52</v>
          </cell>
        </row>
        <row r="99">
          <cell r="A99">
            <v>45594</v>
          </cell>
          <cell r="B99">
            <v>395.07</v>
          </cell>
        </row>
        <row r="100">
          <cell r="A100">
            <v>45593</v>
          </cell>
          <cell r="B100">
            <v>402.89</v>
          </cell>
        </row>
        <row r="101">
          <cell r="A101">
            <v>45590</v>
          </cell>
          <cell r="B101">
            <v>398.91</v>
          </cell>
        </row>
        <row r="102">
          <cell r="A102">
            <v>45589</v>
          </cell>
          <cell r="B102">
            <v>402.68</v>
          </cell>
        </row>
        <row r="103">
          <cell r="A103">
            <v>45588</v>
          </cell>
          <cell r="B103">
            <v>399.64</v>
          </cell>
        </row>
        <row r="104">
          <cell r="A104">
            <v>45587</v>
          </cell>
          <cell r="B104">
            <v>401.85</v>
          </cell>
        </row>
        <row r="105">
          <cell r="A105">
            <v>45586</v>
          </cell>
          <cell r="B105">
            <v>406.4</v>
          </cell>
        </row>
        <row r="106">
          <cell r="A106">
            <v>45583</v>
          </cell>
          <cell r="B106">
            <v>415</v>
          </cell>
        </row>
        <row r="107">
          <cell r="A107">
            <v>45582</v>
          </cell>
          <cell r="B107">
            <v>415.6</v>
          </cell>
        </row>
        <row r="108">
          <cell r="A108">
            <v>45581</v>
          </cell>
          <cell r="B108">
            <v>418.61</v>
          </cell>
        </row>
        <row r="109">
          <cell r="A109">
            <v>45580</v>
          </cell>
          <cell r="B109">
            <v>415.58</v>
          </cell>
        </row>
        <row r="110">
          <cell r="A110">
            <v>45579</v>
          </cell>
          <cell r="B110">
            <v>415.42</v>
          </cell>
        </row>
        <row r="111">
          <cell r="A111">
            <v>45576</v>
          </cell>
          <cell r="B111">
            <v>411.9</v>
          </cell>
        </row>
        <row r="112">
          <cell r="A112">
            <v>45575</v>
          </cell>
          <cell r="B112">
            <v>409.96</v>
          </cell>
        </row>
        <row r="113">
          <cell r="A113">
            <v>45574</v>
          </cell>
          <cell r="B113">
            <v>416.07</v>
          </cell>
        </row>
        <row r="114">
          <cell r="A114">
            <v>45573</v>
          </cell>
          <cell r="B114">
            <v>414.18</v>
          </cell>
        </row>
        <row r="115">
          <cell r="A115">
            <v>45572</v>
          </cell>
          <cell r="B115">
            <v>408.06</v>
          </cell>
        </row>
        <row r="116">
          <cell r="A116">
            <v>45569</v>
          </cell>
          <cell r="B116">
            <v>408.36</v>
          </cell>
        </row>
        <row r="117">
          <cell r="A117">
            <v>45568</v>
          </cell>
          <cell r="B117">
            <v>411.58</v>
          </cell>
        </row>
        <row r="118">
          <cell r="A118">
            <v>45567</v>
          </cell>
          <cell r="B118">
            <v>411.26</v>
          </cell>
        </row>
        <row r="119">
          <cell r="A119">
            <v>45566</v>
          </cell>
          <cell r="B119">
            <v>409.05</v>
          </cell>
        </row>
        <row r="120">
          <cell r="A120">
            <v>45565</v>
          </cell>
          <cell r="B120">
            <v>405.2</v>
          </cell>
        </row>
        <row r="121">
          <cell r="A121">
            <v>45562</v>
          </cell>
          <cell r="B121">
            <v>399.53</v>
          </cell>
        </row>
        <row r="122">
          <cell r="A122">
            <v>45561</v>
          </cell>
          <cell r="B122">
            <v>396.7</v>
          </cell>
        </row>
        <row r="123">
          <cell r="A123">
            <v>45560</v>
          </cell>
          <cell r="B123">
            <v>396.93</v>
          </cell>
        </row>
        <row r="124">
          <cell r="A124">
            <v>45559</v>
          </cell>
          <cell r="B124">
            <v>400.66</v>
          </cell>
        </row>
        <row r="125">
          <cell r="A125">
            <v>45558</v>
          </cell>
          <cell r="B125">
            <v>391.96</v>
          </cell>
        </row>
        <row r="126">
          <cell r="A126">
            <v>45555</v>
          </cell>
          <cell r="B126">
            <v>389.86</v>
          </cell>
        </row>
        <row r="127">
          <cell r="A127">
            <v>45554</v>
          </cell>
          <cell r="B127">
            <v>390.34</v>
          </cell>
        </row>
        <row r="128">
          <cell r="A128">
            <v>45553</v>
          </cell>
          <cell r="B128">
            <v>384.01</v>
          </cell>
        </row>
        <row r="129">
          <cell r="A129">
            <v>45552</v>
          </cell>
          <cell r="B129">
            <v>383.24</v>
          </cell>
        </row>
        <row r="130">
          <cell r="A130">
            <v>45551</v>
          </cell>
          <cell r="B130">
            <v>382.01</v>
          </cell>
        </row>
        <row r="131">
          <cell r="A131">
            <v>45548</v>
          </cell>
          <cell r="B131">
            <v>379.99</v>
          </cell>
        </row>
        <row r="132">
          <cell r="A132">
            <v>45547</v>
          </cell>
          <cell r="B132">
            <v>374.43</v>
          </cell>
        </row>
        <row r="133">
          <cell r="A133">
            <v>45546</v>
          </cell>
          <cell r="B133">
            <v>370.49</v>
          </cell>
        </row>
        <row r="134">
          <cell r="A134">
            <v>45545</v>
          </cell>
          <cell r="B134">
            <v>370.87</v>
          </cell>
        </row>
        <row r="135">
          <cell r="A135">
            <v>45544</v>
          </cell>
          <cell r="B135">
            <v>365.52</v>
          </cell>
        </row>
        <row r="136">
          <cell r="A136">
            <v>45541</v>
          </cell>
          <cell r="B136">
            <v>360.05</v>
          </cell>
        </row>
        <row r="137">
          <cell r="A137">
            <v>45540</v>
          </cell>
          <cell r="B137">
            <v>361.85</v>
          </cell>
        </row>
        <row r="138">
          <cell r="A138">
            <v>45539</v>
          </cell>
          <cell r="B138">
            <v>364.67</v>
          </cell>
        </row>
        <row r="139">
          <cell r="A139">
            <v>45538</v>
          </cell>
          <cell r="B139">
            <v>364.74</v>
          </cell>
        </row>
        <row r="140">
          <cell r="A140">
            <v>45534</v>
          </cell>
          <cell r="B140">
            <v>368.5</v>
          </cell>
        </row>
        <row r="141">
          <cell r="A141">
            <v>45533</v>
          </cell>
          <cell r="B141">
            <v>367.06</v>
          </cell>
        </row>
        <row r="142">
          <cell r="A142">
            <v>45532</v>
          </cell>
          <cell r="B142">
            <v>372.69</v>
          </cell>
        </row>
        <row r="143">
          <cell r="A143">
            <v>45531</v>
          </cell>
          <cell r="B143">
            <v>373.18</v>
          </cell>
        </row>
        <row r="144">
          <cell r="A144">
            <v>45530</v>
          </cell>
          <cell r="B144">
            <v>374.11</v>
          </cell>
        </row>
        <row r="145">
          <cell r="A145">
            <v>45527</v>
          </cell>
          <cell r="B145">
            <v>375.59</v>
          </cell>
        </row>
        <row r="146">
          <cell r="A146">
            <v>45526</v>
          </cell>
          <cell r="B146">
            <v>365.36</v>
          </cell>
        </row>
        <row r="147">
          <cell r="A147">
            <v>45525</v>
          </cell>
          <cell r="B147">
            <v>370.46</v>
          </cell>
        </row>
        <row r="148">
          <cell r="A148">
            <v>45524</v>
          </cell>
          <cell r="B148">
            <v>367.27</v>
          </cell>
        </row>
        <row r="149">
          <cell r="A149">
            <v>45523</v>
          </cell>
          <cell r="B149">
            <v>363.07</v>
          </cell>
        </row>
        <row r="150">
          <cell r="A150">
            <v>45520</v>
          </cell>
          <cell r="B150">
            <v>362.06</v>
          </cell>
        </row>
        <row r="151">
          <cell r="A151">
            <v>45519</v>
          </cell>
          <cell r="B151">
            <v>360.07</v>
          </cell>
        </row>
        <row r="152">
          <cell r="A152">
            <v>45518</v>
          </cell>
          <cell r="B152">
            <v>355.66</v>
          </cell>
        </row>
        <row r="153">
          <cell r="A153">
            <v>45517</v>
          </cell>
          <cell r="B153">
            <v>350.07</v>
          </cell>
        </row>
        <row r="154">
          <cell r="A154">
            <v>45516</v>
          </cell>
          <cell r="B154">
            <v>345.81</v>
          </cell>
        </row>
        <row r="155">
          <cell r="A155">
            <v>45513</v>
          </cell>
          <cell r="B155">
            <v>348.64</v>
          </cell>
        </row>
        <row r="156">
          <cell r="A156">
            <v>45512</v>
          </cell>
          <cell r="B156">
            <v>348.34</v>
          </cell>
        </row>
        <row r="157">
          <cell r="A157">
            <v>45511</v>
          </cell>
          <cell r="B157">
            <v>342.4</v>
          </cell>
        </row>
        <row r="158">
          <cell r="A158">
            <v>45510</v>
          </cell>
          <cell r="B158">
            <v>353.91</v>
          </cell>
        </row>
        <row r="159">
          <cell r="A159">
            <v>45509</v>
          </cell>
          <cell r="B159">
            <v>350.01</v>
          </cell>
        </row>
        <row r="160">
          <cell r="A160">
            <v>45506</v>
          </cell>
          <cell r="B160">
            <v>355.43</v>
          </cell>
        </row>
        <row r="161">
          <cell r="A161">
            <v>45505</v>
          </cell>
          <cell r="B161">
            <v>358.58</v>
          </cell>
        </row>
        <row r="162">
          <cell r="A162">
            <v>45504</v>
          </cell>
          <cell r="B162">
            <v>368.16</v>
          </cell>
        </row>
        <row r="163">
          <cell r="A163">
            <v>45503</v>
          </cell>
          <cell r="B163">
            <v>363.69</v>
          </cell>
        </row>
        <row r="164">
          <cell r="A164">
            <v>45502</v>
          </cell>
          <cell r="B164">
            <v>361.67</v>
          </cell>
        </row>
        <row r="165">
          <cell r="A165">
            <v>45499</v>
          </cell>
          <cell r="B165">
            <v>359.51</v>
          </cell>
        </row>
        <row r="166">
          <cell r="A166">
            <v>45498</v>
          </cell>
          <cell r="B166">
            <v>353.29</v>
          </cell>
        </row>
        <row r="167">
          <cell r="A167">
            <v>45497</v>
          </cell>
          <cell r="B167">
            <v>350.31</v>
          </cell>
        </row>
        <row r="168">
          <cell r="A168">
            <v>45496</v>
          </cell>
          <cell r="B168">
            <v>359.62</v>
          </cell>
        </row>
        <row r="169">
          <cell r="A169">
            <v>45495</v>
          </cell>
          <cell r="B169">
            <v>363.25</v>
          </cell>
        </row>
        <row r="170">
          <cell r="A170">
            <v>45492</v>
          </cell>
          <cell r="B170">
            <v>363.36</v>
          </cell>
        </row>
        <row r="171">
          <cell r="A171">
            <v>45491</v>
          </cell>
          <cell r="B171">
            <v>366.08</v>
          </cell>
        </row>
        <row r="172">
          <cell r="A172">
            <v>45490</v>
          </cell>
          <cell r="B172">
            <v>371.89</v>
          </cell>
        </row>
        <row r="173">
          <cell r="A173">
            <v>45489</v>
          </cell>
          <cell r="B173">
            <v>369.12</v>
          </cell>
        </row>
        <row r="174">
          <cell r="A174">
            <v>45488</v>
          </cell>
          <cell r="B174">
            <v>358.46</v>
          </cell>
        </row>
        <row r="175">
          <cell r="A175">
            <v>45485</v>
          </cell>
          <cell r="B175">
            <v>359.77</v>
          </cell>
        </row>
        <row r="176">
          <cell r="A176">
            <v>45484</v>
          </cell>
          <cell r="B176">
            <v>353.79</v>
          </cell>
        </row>
        <row r="177">
          <cell r="A177">
            <v>45483</v>
          </cell>
          <cell r="B177">
            <v>344.18</v>
          </cell>
        </row>
        <row r="178">
          <cell r="A178">
            <v>45482</v>
          </cell>
          <cell r="B178">
            <v>337.09</v>
          </cell>
        </row>
        <row r="179">
          <cell r="A179">
            <v>45481</v>
          </cell>
          <cell r="B179">
            <v>339.6</v>
          </cell>
        </row>
        <row r="180">
          <cell r="A180">
            <v>45478</v>
          </cell>
          <cell r="B180">
            <v>334.58</v>
          </cell>
        </row>
        <row r="181">
          <cell r="A181">
            <v>45476</v>
          </cell>
          <cell r="B181">
            <v>333.64</v>
          </cell>
        </row>
        <row r="182">
          <cell r="A182">
            <v>45475</v>
          </cell>
          <cell r="B182">
            <v>334.97</v>
          </cell>
        </row>
        <row r="183">
          <cell r="A183">
            <v>45474</v>
          </cell>
          <cell r="B183">
            <v>336.19</v>
          </cell>
        </row>
        <row r="184">
          <cell r="A184">
            <v>45471</v>
          </cell>
          <cell r="B184">
            <v>344.24</v>
          </cell>
        </row>
        <row r="185">
          <cell r="A185">
            <v>45470</v>
          </cell>
          <cell r="B185">
            <v>341.49</v>
          </cell>
        </row>
        <row r="186">
          <cell r="A186">
            <v>45469</v>
          </cell>
          <cell r="B186">
            <v>341.82</v>
          </cell>
        </row>
        <row r="187">
          <cell r="A187">
            <v>45468</v>
          </cell>
          <cell r="B187">
            <v>338.32</v>
          </cell>
        </row>
        <row r="188">
          <cell r="A188">
            <v>45467</v>
          </cell>
          <cell r="B188">
            <v>350.88</v>
          </cell>
        </row>
        <row r="189">
          <cell r="A189">
            <v>45464</v>
          </cell>
          <cell r="B189">
            <v>355.8</v>
          </cell>
        </row>
        <row r="190">
          <cell r="A190">
            <v>45463</v>
          </cell>
          <cell r="B190">
            <v>353.44</v>
          </cell>
        </row>
        <row r="191">
          <cell r="A191">
            <v>45461</v>
          </cell>
          <cell r="B191">
            <v>353.87</v>
          </cell>
        </row>
        <row r="192">
          <cell r="A192">
            <v>45460</v>
          </cell>
          <cell r="B192">
            <v>349.5</v>
          </cell>
        </row>
        <row r="193">
          <cell r="A193">
            <v>45457</v>
          </cell>
          <cell r="B193">
            <v>346.84</v>
          </cell>
        </row>
        <row r="194">
          <cell r="A194">
            <v>45456</v>
          </cell>
          <cell r="B194">
            <v>347.88</v>
          </cell>
        </row>
        <row r="195">
          <cell r="A195">
            <v>45455</v>
          </cell>
          <cell r="B195">
            <v>344.14</v>
          </cell>
        </row>
        <row r="196">
          <cell r="A196">
            <v>45454</v>
          </cell>
          <cell r="B196">
            <v>335.72</v>
          </cell>
        </row>
        <row r="197">
          <cell r="A197">
            <v>45453</v>
          </cell>
          <cell r="B197">
            <v>332.56</v>
          </cell>
        </row>
        <row r="198">
          <cell r="A198">
            <v>45450</v>
          </cell>
          <cell r="B198">
            <v>327.02999999999997</v>
          </cell>
        </row>
        <row r="199">
          <cell r="A199">
            <v>45449</v>
          </cell>
          <cell r="B199">
            <v>331.1</v>
          </cell>
        </row>
        <row r="200">
          <cell r="A200">
            <v>45448</v>
          </cell>
          <cell r="B200">
            <v>330.26</v>
          </cell>
        </row>
        <row r="201">
          <cell r="A201">
            <v>45447</v>
          </cell>
          <cell r="B201">
            <v>328.26</v>
          </cell>
        </row>
        <row r="202">
          <cell r="A202">
            <v>45446</v>
          </cell>
          <cell r="B202">
            <v>328.01</v>
          </cell>
        </row>
        <row r="203">
          <cell r="A203">
            <v>45443</v>
          </cell>
          <cell r="B203">
            <v>334.87</v>
          </cell>
        </row>
        <row r="204">
          <cell r="A204">
            <v>45442</v>
          </cell>
          <cell r="B204">
            <v>329.18</v>
          </cell>
        </row>
        <row r="205">
          <cell r="A205">
            <v>45441</v>
          </cell>
          <cell r="B205">
            <v>325.91000000000003</v>
          </cell>
        </row>
        <row r="206">
          <cell r="A206">
            <v>45440</v>
          </cell>
          <cell r="B206">
            <v>328.7</v>
          </cell>
        </row>
        <row r="207">
          <cell r="A207">
            <v>45436</v>
          </cell>
          <cell r="B207">
            <v>325.10000000000002</v>
          </cell>
        </row>
        <row r="208">
          <cell r="A208">
            <v>45435</v>
          </cell>
          <cell r="B208">
            <v>326.89</v>
          </cell>
        </row>
        <row r="209">
          <cell r="A209">
            <v>45434</v>
          </cell>
          <cell r="B209">
            <v>330.59</v>
          </cell>
        </row>
        <row r="210">
          <cell r="A210">
            <v>45433</v>
          </cell>
          <cell r="B210">
            <v>336.15</v>
          </cell>
        </row>
        <row r="211">
          <cell r="A211">
            <v>45432</v>
          </cell>
          <cell r="B211">
            <v>337.82</v>
          </cell>
        </row>
        <row r="212">
          <cell r="A212">
            <v>45429</v>
          </cell>
          <cell r="B212">
            <v>344.21</v>
          </cell>
        </row>
        <row r="213">
          <cell r="A213">
            <v>45428</v>
          </cell>
          <cell r="B213">
            <v>342.73</v>
          </cell>
        </row>
        <row r="214">
          <cell r="A214">
            <v>45427</v>
          </cell>
          <cell r="B214">
            <v>348.67</v>
          </cell>
        </row>
        <row r="215">
          <cell r="A215">
            <v>45426</v>
          </cell>
          <cell r="B215">
            <v>340.5</v>
          </cell>
        </row>
        <row r="216">
          <cell r="A216">
            <v>45425</v>
          </cell>
          <cell r="B216">
            <v>340.96</v>
          </cell>
        </row>
        <row r="217">
          <cell r="A217">
            <v>45422</v>
          </cell>
          <cell r="B217">
            <v>346.43</v>
          </cell>
        </row>
        <row r="218">
          <cell r="A218">
            <v>45421</v>
          </cell>
          <cell r="B218">
            <v>347.44</v>
          </cell>
        </row>
        <row r="219">
          <cell r="A219">
            <v>45420</v>
          </cell>
          <cell r="B219">
            <v>338.83</v>
          </cell>
        </row>
        <row r="220">
          <cell r="A220">
            <v>45419</v>
          </cell>
          <cell r="B220">
            <v>340.69</v>
          </cell>
        </row>
        <row r="221">
          <cell r="A221">
            <v>45418</v>
          </cell>
          <cell r="B221">
            <v>342.29</v>
          </cell>
        </row>
        <row r="222">
          <cell r="A222">
            <v>45415</v>
          </cell>
          <cell r="B222">
            <v>342.85</v>
          </cell>
        </row>
        <row r="223">
          <cell r="A223">
            <v>45414</v>
          </cell>
          <cell r="B223">
            <v>335.53</v>
          </cell>
        </row>
        <row r="224">
          <cell r="A224">
            <v>45413</v>
          </cell>
          <cell r="B224">
            <v>331.97</v>
          </cell>
        </row>
        <row r="225">
          <cell r="A225">
            <v>45412</v>
          </cell>
          <cell r="B225">
            <v>334.22</v>
          </cell>
        </row>
        <row r="226">
          <cell r="A226">
            <v>45411</v>
          </cell>
          <cell r="B226">
            <v>336.8</v>
          </cell>
        </row>
        <row r="227">
          <cell r="A227">
            <v>45408</v>
          </cell>
          <cell r="B227">
            <v>335.09</v>
          </cell>
        </row>
        <row r="228">
          <cell r="A228">
            <v>45407</v>
          </cell>
          <cell r="B228">
            <v>331.98</v>
          </cell>
        </row>
        <row r="229">
          <cell r="A229">
            <v>45406</v>
          </cell>
          <cell r="B229">
            <v>333.01</v>
          </cell>
        </row>
        <row r="230">
          <cell r="A230">
            <v>45405</v>
          </cell>
          <cell r="B230">
            <v>339</v>
          </cell>
        </row>
        <row r="231">
          <cell r="A231">
            <v>45404</v>
          </cell>
          <cell r="B231">
            <v>336.11</v>
          </cell>
        </row>
        <row r="232">
          <cell r="A232">
            <v>45401</v>
          </cell>
          <cell r="B232">
            <v>335.36</v>
          </cell>
        </row>
        <row r="233">
          <cell r="A233">
            <v>45400</v>
          </cell>
          <cell r="B233">
            <v>332.89</v>
          </cell>
        </row>
        <row r="234">
          <cell r="A234">
            <v>45399</v>
          </cell>
          <cell r="B234">
            <v>332.83</v>
          </cell>
        </row>
        <row r="235">
          <cell r="A235">
            <v>45398</v>
          </cell>
          <cell r="B235">
            <v>334.83</v>
          </cell>
        </row>
        <row r="236">
          <cell r="A236">
            <v>45397</v>
          </cell>
          <cell r="B236">
            <v>337.93</v>
          </cell>
        </row>
        <row r="237">
          <cell r="A237">
            <v>45394</v>
          </cell>
          <cell r="B237">
            <v>342.87</v>
          </cell>
        </row>
        <row r="238">
          <cell r="A238">
            <v>45393</v>
          </cell>
          <cell r="B238">
            <v>347.37</v>
          </cell>
        </row>
        <row r="239">
          <cell r="A239">
            <v>45392</v>
          </cell>
          <cell r="B239">
            <v>350.56</v>
          </cell>
        </row>
        <row r="240">
          <cell r="A240">
            <v>45391</v>
          </cell>
          <cell r="B240">
            <v>361.42</v>
          </cell>
        </row>
        <row r="241">
          <cell r="A241">
            <v>45390</v>
          </cell>
          <cell r="B241">
            <v>362.05</v>
          </cell>
        </row>
        <row r="242">
          <cell r="A242">
            <v>45387</v>
          </cell>
          <cell r="B242">
            <v>357.87</v>
          </cell>
        </row>
        <row r="243">
          <cell r="A243">
            <v>45386</v>
          </cell>
          <cell r="B243">
            <v>357.68</v>
          </cell>
        </row>
        <row r="244">
          <cell r="A244">
            <v>45385</v>
          </cell>
          <cell r="B244">
            <v>359.9</v>
          </cell>
        </row>
        <row r="245">
          <cell r="A245">
            <v>45384</v>
          </cell>
          <cell r="B245">
            <v>363</v>
          </cell>
        </row>
        <row r="246">
          <cell r="A246">
            <v>45383</v>
          </cell>
          <cell r="B246">
            <v>368.03</v>
          </cell>
        </row>
        <row r="247">
          <cell r="A247">
            <v>45379</v>
          </cell>
          <cell r="B247">
            <v>383.6</v>
          </cell>
        </row>
        <row r="248">
          <cell r="A248">
            <v>45378</v>
          </cell>
          <cell r="B248">
            <v>385.89</v>
          </cell>
        </row>
        <row r="249">
          <cell r="A249">
            <v>45377</v>
          </cell>
          <cell r="B249">
            <v>379.93</v>
          </cell>
        </row>
        <row r="250">
          <cell r="A250">
            <v>45376</v>
          </cell>
          <cell r="B250">
            <v>383.51</v>
          </cell>
        </row>
        <row r="251">
          <cell r="A251">
            <v>45373</v>
          </cell>
          <cell r="B251">
            <v>390.28</v>
          </cell>
        </row>
        <row r="252">
          <cell r="A252">
            <v>45372</v>
          </cell>
          <cell r="B252">
            <v>395.2</v>
          </cell>
        </row>
        <row r="253">
          <cell r="A253">
            <v>45371</v>
          </cell>
          <cell r="B253">
            <v>384.41</v>
          </cell>
        </row>
        <row r="254">
          <cell r="A254">
            <v>45370</v>
          </cell>
          <cell r="B254">
            <v>379.41</v>
          </cell>
        </row>
        <row r="255">
          <cell r="A255">
            <v>45369</v>
          </cell>
          <cell r="B255">
            <v>371.91</v>
          </cell>
        </row>
        <row r="256">
          <cell r="A256">
            <v>45366</v>
          </cell>
          <cell r="B256">
            <v>373.23</v>
          </cell>
        </row>
        <row r="257">
          <cell r="A257">
            <v>45365</v>
          </cell>
          <cell r="B257">
            <v>375.27</v>
          </cell>
        </row>
        <row r="258">
          <cell r="A258">
            <v>45364</v>
          </cell>
          <cell r="B258">
            <v>378.99</v>
          </cell>
        </row>
        <row r="259">
          <cell r="A259">
            <v>45363</v>
          </cell>
          <cell r="B259">
            <v>374.54</v>
          </cell>
        </row>
        <row r="260">
          <cell r="A260">
            <v>45362</v>
          </cell>
          <cell r="B260">
            <v>371.52</v>
          </cell>
        </row>
        <row r="261">
          <cell r="A261">
            <v>45359</v>
          </cell>
          <cell r="B261">
            <v>373.35</v>
          </cell>
        </row>
        <row r="262">
          <cell r="A262">
            <v>45358</v>
          </cell>
          <cell r="B262">
            <v>376.55</v>
          </cell>
        </row>
        <row r="263">
          <cell r="A263">
            <v>45357</v>
          </cell>
          <cell r="B263">
            <v>377.44</v>
          </cell>
        </row>
        <row r="264">
          <cell r="A264">
            <v>45356</v>
          </cell>
          <cell r="B264">
            <v>378.45</v>
          </cell>
        </row>
        <row r="265">
          <cell r="A265">
            <v>45355</v>
          </cell>
          <cell r="B265">
            <v>380.37</v>
          </cell>
        </row>
        <row r="266">
          <cell r="A266">
            <v>45352</v>
          </cell>
          <cell r="B266">
            <v>384.45</v>
          </cell>
        </row>
        <row r="267">
          <cell r="A267">
            <v>45351</v>
          </cell>
          <cell r="B267">
            <v>380.61</v>
          </cell>
        </row>
        <row r="268">
          <cell r="A268">
            <v>45350</v>
          </cell>
          <cell r="B268">
            <v>377.61</v>
          </cell>
        </row>
        <row r="269">
          <cell r="A269">
            <v>45349</v>
          </cell>
          <cell r="B269">
            <v>375.56</v>
          </cell>
        </row>
        <row r="270">
          <cell r="A270">
            <v>45348</v>
          </cell>
          <cell r="B270">
            <v>371.6</v>
          </cell>
        </row>
        <row r="271">
          <cell r="A271">
            <v>45345</v>
          </cell>
          <cell r="B271">
            <v>371.96</v>
          </cell>
        </row>
        <row r="272">
          <cell r="A272">
            <v>45344</v>
          </cell>
          <cell r="B272">
            <v>371.34</v>
          </cell>
        </row>
        <row r="273">
          <cell r="A273">
            <v>45343</v>
          </cell>
          <cell r="B273">
            <v>364.13</v>
          </cell>
        </row>
        <row r="274">
          <cell r="A274">
            <v>45342</v>
          </cell>
          <cell r="B274">
            <v>362.57</v>
          </cell>
        </row>
        <row r="275">
          <cell r="A275">
            <v>45338</v>
          </cell>
          <cell r="B275">
            <v>362.35</v>
          </cell>
        </row>
        <row r="276">
          <cell r="A276">
            <v>45337</v>
          </cell>
          <cell r="B276">
            <v>361.08</v>
          </cell>
        </row>
        <row r="277">
          <cell r="A277">
            <v>45336</v>
          </cell>
          <cell r="B277">
            <v>358.23</v>
          </cell>
        </row>
        <row r="278">
          <cell r="A278">
            <v>45335</v>
          </cell>
          <cell r="B278">
            <v>357.59</v>
          </cell>
        </row>
        <row r="279">
          <cell r="A279">
            <v>45334</v>
          </cell>
          <cell r="B279">
            <v>365.45</v>
          </cell>
        </row>
        <row r="280">
          <cell r="A280">
            <v>45331</v>
          </cell>
          <cell r="B280">
            <v>363.15</v>
          </cell>
        </row>
        <row r="281">
          <cell r="A281">
            <v>45330</v>
          </cell>
          <cell r="B281">
            <v>363.72</v>
          </cell>
        </row>
        <row r="282">
          <cell r="A282">
            <v>45329</v>
          </cell>
          <cell r="B282">
            <v>362.69</v>
          </cell>
        </row>
        <row r="283">
          <cell r="A283">
            <v>45328</v>
          </cell>
          <cell r="B283">
            <v>356.25</v>
          </cell>
        </row>
        <row r="284">
          <cell r="A284">
            <v>45327</v>
          </cell>
          <cell r="B284">
            <v>355.14</v>
          </cell>
        </row>
        <row r="285">
          <cell r="A285">
            <v>45324</v>
          </cell>
          <cell r="B285">
            <v>357.23</v>
          </cell>
        </row>
        <row r="286">
          <cell r="A286">
            <v>45323</v>
          </cell>
          <cell r="B286">
            <v>360.07</v>
          </cell>
        </row>
        <row r="287">
          <cell r="A287">
            <v>45322</v>
          </cell>
          <cell r="B287">
            <v>352.96</v>
          </cell>
        </row>
        <row r="288">
          <cell r="A288">
            <v>45321</v>
          </cell>
          <cell r="B288">
            <v>357.1</v>
          </cell>
        </row>
        <row r="289">
          <cell r="A289">
            <v>45320</v>
          </cell>
          <cell r="B289">
            <v>355.7</v>
          </cell>
        </row>
        <row r="290">
          <cell r="A290">
            <v>45317</v>
          </cell>
          <cell r="B290">
            <v>355.3</v>
          </cell>
        </row>
        <row r="291">
          <cell r="A291">
            <v>45316</v>
          </cell>
          <cell r="B291">
            <v>350.97</v>
          </cell>
        </row>
        <row r="292">
          <cell r="A292">
            <v>45315</v>
          </cell>
          <cell r="B292">
            <v>347.27</v>
          </cell>
        </row>
        <row r="293">
          <cell r="A293">
            <v>45314</v>
          </cell>
          <cell r="B293">
            <v>350.78</v>
          </cell>
        </row>
        <row r="294">
          <cell r="A294">
            <v>45313</v>
          </cell>
          <cell r="B294">
            <v>356.69</v>
          </cell>
        </row>
        <row r="295">
          <cell r="A295">
            <v>45310</v>
          </cell>
          <cell r="B295">
            <v>362.41</v>
          </cell>
        </row>
        <row r="296">
          <cell r="A296">
            <v>45309</v>
          </cell>
          <cell r="B296">
            <v>357.9</v>
          </cell>
        </row>
        <row r="297">
          <cell r="A297">
            <v>45308</v>
          </cell>
          <cell r="B297">
            <v>355.7</v>
          </cell>
        </row>
        <row r="298">
          <cell r="A298">
            <v>45307</v>
          </cell>
          <cell r="B298">
            <v>358.43</v>
          </cell>
        </row>
        <row r="299">
          <cell r="A299">
            <v>45303</v>
          </cell>
          <cell r="B299">
            <v>355.71</v>
          </cell>
        </row>
        <row r="300">
          <cell r="A300">
            <v>45302</v>
          </cell>
          <cell r="B300">
            <v>356.53</v>
          </cell>
        </row>
        <row r="301">
          <cell r="A301">
            <v>45301</v>
          </cell>
          <cell r="B301">
            <v>356.8</v>
          </cell>
        </row>
        <row r="302">
          <cell r="A302">
            <v>45300</v>
          </cell>
          <cell r="B302">
            <v>346.19</v>
          </cell>
        </row>
        <row r="303">
          <cell r="A303">
            <v>45299</v>
          </cell>
          <cell r="B303">
            <v>347.93</v>
          </cell>
        </row>
        <row r="304">
          <cell r="A304">
            <v>45296</v>
          </cell>
          <cell r="B304">
            <v>342.94</v>
          </cell>
        </row>
        <row r="305">
          <cell r="A305">
            <v>45295</v>
          </cell>
          <cell r="B305">
            <v>338.59</v>
          </cell>
        </row>
        <row r="306">
          <cell r="A306">
            <v>45294</v>
          </cell>
          <cell r="B306">
            <v>338.26</v>
          </cell>
        </row>
        <row r="307">
          <cell r="A307">
            <v>45293</v>
          </cell>
          <cell r="B307">
            <v>345.08</v>
          </cell>
        </row>
        <row r="308">
          <cell r="A308">
            <v>45289</v>
          </cell>
          <cell r="B308">
            <v>346.55</v>
          </cell>
        </row>
        <row r="309">
          <cell r="A309">
            <v>45288</v>
          </cell>
          <cell r="B309">
            <v>347.36</v>
          </cell>
        </row>
        <row r="310">
          <cell r="A310">
            <v>45287</v>
          </cell>
          <cell r="B310">
            <v>348.53</v>
          </cell>
        </row>
        <row r="311">
          <cell r="A311">
            <v>45286</v>
          </cell>
          <cell r="B311">
            <v>349.31</v>
          </cell>
        </row>
        <row r="312">
          <cell r="A312">
            <v>45282</v>
          </cell>
          <cell r="B312">
            <v>348.59</v>
          </cell>
        </row>
        <row r="313">
          <cell r="A313">
            <v>45281</v>
          </cell>
          <cell r="B313">
            <v>348.97</v>
          </cell>
        </row>
        <row r="314">
          <cell r="A314">
            <v>45280</v>
          </cell>
          <cell r="B314">
            <v>348.66</v>
          </cell>
        </row>
        <row r="315">
          <cell r="A315">
            <v>45279</v>
          </cell>
          <cell r="B315">
            <v>352.07</v>
          </cell>
        </row>
        <row r="316">
          <cell r="A316">
            <v>45278</v>
          </cell>
          <cell r="B316">
            <v>350.81</v>
          </cell>
        </row>
        <row r="317">
          <cell r="A317">
            <v>45275</v>
          </cell>
          <cell r="B317">
            <v>354</v>
          </cell>
        </row>
        <row r="318">
          <cell r="A318">
            <v>45274</v>
          </cell>
          <cell r="B318">
            <v>351.81</v>
          </cell>
        </row>
        <row r="319">
          <cell r="A319">
            <v>45273</v>
          </cell>
          <cell r="B319">
            <v>343.4</v>
          </cell>
        </row>
        <row r="320">
          <cell r="A320">
            <v>45272</v>
          </cell>
          <cell r="B320">
            <v>333.2</v>
          </cell>
        </row>
        <row r="321">
          <cell r="A321">
            <v>45271</v>
          </cell>
          <cell r="B321">
            <v>331.33</v>
          </cell>
        </row>
        <row r="322">
          <cell r="A322">
            <v>45268</v>
          </cell>
          <cell r="B322">
            <v>326.47000000000003</v>
          </cell>
        </row>
        <row r="323">
          <cell r="A323">
            <v>45267</v>
          </cell>
          <cell r="B323">
            <v>326.17</v>
          </cell>
        </row>
        <row r="324">
          <cell r="A324">
            <v>45266</v>
          </cell>
          <cell r="B324">
            <v>326.11</v>
          </cell>
        </row>
        <row r="325">
          <cell r="A325">
            <v>45265</v>
          </cell>
          <cell r="B325">
            <v>323.5</v>
          </cell>
        </row>
        <row r="326">
          <cell r="A326">
            <v>45264</v>
          </cell>
          <cell r="B326">
            <v>324.02</v>
          </cell>
        </row>
        <row r="327">
          <cell r="A327">
            <v>45261</v>
          </cell>
          <cell r="B327">
            <v>319.62</v>
          </cell>
        </row>
        <row r="328">
          <cell r="A328">
            <v>45260</v>
          </cell>
          <cell r="B328">
            <v>313.49</v>
          </cell>
        </row>
        <row r="329">
          <cell r="A329">
            <v>45259</v>
          </cell>
          <cell r="B329">
            <v>311.02</v>
          </cell>
        </row>
        <row r="330">
          <cell r="A330">
            <v>45258</v>
          </cell>
          <cell r="B330">
            <v>313.33999999999997</v>
          </cell>
        </row>
        <row r="331">
          <cell r="A331">
            <v>45257</v>
          </cell>
          <cell r="B331">
            <v>310.92</v>
          </cell>
        </row>
        <row r="332">
          <cell r="A332">
            <v>45254</v>
          </cell>
          <cell r="B332">
            <v>310.7</v>
          </cell>
        </row>
        <row r="333">
          <cell r="A333">
            <v>45252</v>
          </cell>
          <cell r="B333">
            <v>309.2</v>
          </cell>
        </row>
        <row r="334">
          <cell r="A334">
            <v>45251</v>
          </cell>
          <cell r="B334">
            <v>305.33999999999997</v>
          </cell>
        </row>
        <row r="335">
          <cell r="A335">
            <v>45250</v>
          </cell>
          <cell r="B335">
            <v>308.19</v>
          </cell>
        </row>
        <row r="336">
          <cell r="A336">
            <v>45247</v>
          </cell>
          <cell r="B336">
            <v>307.27</v>
          </cell>
        </row>
        <row r="337">
          <cell r="A337">
            <v>45246</v>
          </cell>
          <cell r="B337">
            <v>306.44</v>
          </cell>
        </row>
        <row r="338">
          <cell r="A338">
            <v>45245</v>
          </cell>
          <cell r="B338">
            <v>308.19</v>
          </cell>
        </row>
        <row r="339">
          <cell r="A339">
            <v>45244</v>
          </cell>
          <cell r="B339">
            <v>303.63</v>
          </cell>
        </row>
        <row r="340">
          <cell r="A340">
            <v>45243</v>
          </cell>
          <cell r="B340">
            <v>288.07</v>
          </cell>
        </row>
        <row r="341">
          <cell r="A341">
            <v>45240</v>
          </cell>
          <cell r="B341">
            <v>291.58999999999997</v>
          </cell>
        </row>
        <row r="342">
          <cell r="A342">
            <v>45239</v>
          </cell>
          <cell r="B342">
            <v>287.87</v>
          </cell>
        </row>
        <row r="343">
          <cell r="A343">
            <v>45238</v>
          </cell>
          <cell r="B343">
            <v>295.92</v>
          </cell>
        </row>
        <row r="344">
          <cell r="A344">
            <v>45237</v>
          </cell>
          <cell r="B344">
            <v>294.77</v>
          </cell>
        </row>
        <row r="345">
          <cell r="A345">
            <v>45236</v>
          </cell>
          <cell r="B345">
            <v>294.57</v>
          </cell>
        </row>
        <row r="346">
          <cell r="A346">
            <v>45233</v>
          </cell>
          <cell r="B346">
            <v>295.61</v>
          </cell>
        </row>
        <row r="347">
          <cell r="A347">
            <v>45232</v>
          </cell>
          <cell r="B347">
            <v>294.52999999999997</v>
          </cell>
        </row>
        <row r="348">
          <cell r="A348">
            <v>45231</v>
          </cell>
          <cell r="B348">
            <v>286.63</v>
          </cell>
        </row>
        <row r="349">
          <cell r="A349">
            <v>45230</v>
          </cell>
          <cell r="B349">
            <v>284.69</v>
          </cell>
        </row>
        <row r="350">
          <cell r="A350">
            <v>45229</v>
          </cell>
          <cell r="B350">
            <v>281.48</v>
          </cell>
        </row>
        <row r="351">
          <cell r="A351">
            <v>45226</v>
          </cell>
          <cell r="B351">
            <v>276.45999999999998</v>
          </cell>
        </row>
        <row r="352">
          <cell r="A352">
            <v>45225</v>
          </cell>
          <cell r="B352">
            <v>278</v>
          </cell>
        </row>
        <row r="353">
          <cell r="A353">
            <v>45224</v>
          </cell>
          <cell r="B353">
            <v>280.93</v>
          </cell>
        </row>
        <row r="354">
          <cell r="A354">
            <v>45223</v>
          </cell>
          <cell r="B354">
            <v>283.31</v>
          </cell>
        </row>
        <row r="355">
          <cell r="A355">
            <v>45222</v>
          </cell>
          <cell r="B355">
            <v>285.07</v>
          </cell>
        </row>
        <row r="356">
          <cell r="A356">
            <v>45219</v>
          </cell>
          <cell r="B356">
            <v>286.41000000000003</v>
          </cell>
        </row>
        <row r="357">
          <cell r="A357">
            <v>45218</v>
          </cell>
          <cell r="B357">
            <v>286.77</v>
          </cell>
        </row>
        <row r="358">
          <cell r="A358">
            <v>45217</v>
          </cell>
          <cell r="B358">
            <v>290.24</v>
          </cell>
        </row>
        <row r="359">
          <cell r="A359">
            <v>45216</v>
          </cell>
          <cell r="B359">
            <v>295.94</v>
          </cell>
        </row>
        <row r="360">
          <cell r="A360">
            <v>45215</v>
          </cell>
          <cell r="B360">
            <v>297.33</v>
          </cell>
        </row>
        <row r="361">
          <cell r="A361">
            <v>45212</v>
          </cell>
          <cell r="B361">
            <v>291.92</v>
          </cell>
        </row>
        <row r="362">
          <cell r="A362">
            <v>45211</v>
          </cell>
          <cell r="B362">
            <v>293.02</v>
          </cell>
        </row>
        <row r="363">
          <cell r="A363">
            <v>45210</v>
          </cell>
          <cell r="B363">
            <v>298.05</v>
          </cell>
        </row>
        <row r="364">
          <cell r="A364">
            <v>45209</v>
          </cell>
          <cell r="B364">
            <v>299.22000000000003</v>
          </cell>
        </row>
        <row r="365">
          <cell r="A365">
            <v>45208</v>
          </cell>
          <cell r="B365">
            <v>295.36</v>
          </cell>
        </row>
        <row r="366">
          <cell r="A366">
            <v>45205</v>
          </cell>
          <cell r="B366">
            <v>292.82</v>
          </cell>
        </row>
        <row r="367">
          <cell r="A367">
            <v>45204</v>
          </cell>
          <cell r="B367">
            <v>291.7</v>
          </cell>
        </row>
        <row r="368">
          <cell r="A368">
            <v>45203</v>
          </cell>
          <cell r="B368">
            <v>292.39</v>
          </cell>
        </row>
        <row r="369">
          <cell r="A369">
            <v>45202</v>
          </cell>
          <cell r="B369">
            <v>291.94</v>
          </cell>
        </row>
        <row r="370">
          <cell r="A370">
            <v>45201</v>
          </cell>
          <cell r="B370">
            <v>299.83</v>
          </cell>
        </row>
        <row r="371">
          <cell r="A371">
            <v>45198</v>
          </cell>
          <cell r="B371">
            <v>302.16000000000003</v>
          </cell>
        </row>
        <row r="372">
          <cell r="A372">
            <v>45197</v>
          </cell>
          <cell r="B372">
            <v>303.49</v>
          </cell>
        </row>
        <row r="373">
          <cell r="A373">
            <v>45196</v>
          </cell>
          <cell r="B373">
            <v>301.82</v>
          </cell>
        </row>
        <row r="374">
          <cell r="A374">
            <v>45195</v>
          </cell>
          <cell r="B374">
            <v>302.54000000000002</v>
          </cell>
        </row>
        <row r="375">
          <cell r="A375">
            <v>45194</v>
          </cell>
          <cell r="B375">
            <v>306.49</v>
          </cell>
        </row>
        <row r="376">
          <cell r="A376">
            <v>45191</v>
          </cell>
          <cell r="B376">
            <v>305.73</v>
          </cell>
        </row>
        <row r="377">
          <cell r="A377">
            <v>45190</v>
          </cell>
          <cell r="B377">
            <v>306.76</v>
          </cell>
        </row>
        <row r="378">
          <cell r="A378">
            <v>45189</v>
          </cell>
          <cell r="B378">
            <v>310.86</v>
          </cell>
        </row>
        <row r="379">
          <cell r="A379">
            <v>45188</v>
          </cell>
          <cell r="B379">
            <v>314.61</v>
          </cell>
        </row>
        <row r="380">
          <cell r="A380">
            <v>45187</v>
          </cell>
          <cell r="B380">
            <v>317.26</v>
          </cell>
        </row>
        <row r="381">
          <cell r="A381">
            <v>45184</v>
          </cell>
          <cell r="B381">
            <v>321.39999999999998</v>
          </cell>
        </row>
        <row r="382">
          <cell r="A382">
            <v>45183</v>
          </cell>
          <cell r="B382">
            <v>329.63</v>
          </cell>
        </row>
        <row r="383">
          <cell r="A383">
            <v>45182</v>
          </cell>
          <cell r="B383">
            <v>325.88</v>
          </cell>
        </row>
        <row r="384">
          <cell r="A384">
            <v>45181</v>
          </cell>
          <cell r="B384">
            <v>326.27999999999997</v>
          </cell>
        </row>
        <row r="385">
          <cell r="A385">
            <v>45180</v>
          </cell>
          <cell r="B385">
            <v>328.37</v>
          </cell>
        </row>
        <row r="386">
          <cell r="A386">
            <v>45177</v>
          </cell>
          <cell r="B386">
            <v>328.71</v>
          </cell>
        </row>
        <row r="387">
          <cell r="A387">
            <v>45176</v>
          </cell>
          <cell r="B387">
            <v>328.42</v>
          </cell>
        </row>
        <row r="388">
          <cell r="A388">
            <v>45175</v>
          </cell>
          <cell r="B388">
            <v>326</v>
          </cell>
        </row>
        <row r="389">
          <cell r="A389">
            <v>45174</v>
          </cell>
          <cell r="B389">
            <v>327.78</v>
          </cell>
        </row>
        <row r="390">
          <cell r="A390">
            <v>45170</v>
          </cell>
          <cell r="B390">
            <v>333.08</v>
          </cell>
        </row>
        <row r="391">
          <cell r="A391">
            <v>45169</v>
          </cell>
          <cell r="B391">
            <v>330.3</v>
          </cell>
        </row>
        <row r="392">
          <cell r="A392">
            <v>45168</v>
          </cell>
          <cell r="B392">
            <v>330.63</v>
          </cell>
        </row>
        <row r="393">
          <cell r="A393">
            <v>45167</v>
          </cell>
          <cell r="B393">
            <v>329.38</v>
          </cell>
        </row>
        <row r="394">
          <cell r="A394">
            <v>45166</v>
          </cell>
          <cell r="B394">
            <v>325.91000000000003</v>
          </cell>
        </row>
        <row r="395">
          <cell r="A395">
            <v>45163</v>
          </cell>
          <cell r="B395">
            <v>322.86</v>
          </cell>
        </row>
        <row r="396">
          <cell r="A396">
            <v>45162</v>
          </cell>
          <cell r="B396">
            <v>322.58999999999997</v>
          </cell>
        </row>
        <row r="397">
          <cell r="A397">
            <v>45161</v>
          </cell>
          <cell r="B397">
            <v>326.08999999999997</v>
          </cell>
        </row>
        <row r="398">
          <cell r="A398">
            <v>45160</v>
          </cell>
          <cell r="B398">
            <v>324.48</v>
          </cell>
        </row>
        <row r="399">
          <cell r="A399">
            <v>45159</v>
          </cell>
          <cell r="B399">
            <v>324.06</v>
          </cell>
        </row>
        <row r="400">
          <cell r="A400">
            <v>45156</v>
          </cell>
          <cell r="B400">
            <v>327.37</v>
          </cell>
        </row>
        <row r="401">
          <cell r="A401">
            <v>45155</v>
          </cell>
          <cell r="B401">
            <v>327.27999999999997</v>
          </cell>
        </row>
        <row r="402">
          <cell r="A402">
            <v>45154</v>
          </cell>
          <cell r="B402">
            <v>333.03</v>
          </cell>
        </row>
        <row r="403">
          <cell r="A403">
            <v>45153</v>
          </cell>
          <cell r="B403">
            <v>332.14</v>
          </cell>
        </row>
        <row r="404">
          <cell r="A404">
            <v>45152</v>
          </cell>
          <cell r="B404">
            <v>329.95</v>
          </cell>
        </row>
        <row r="405">
          <cell r="A405">
            <v>45149</v>
          </cell>
          <cell r="B405">
            <v>331.11</v>
          </cell>
        </row>
        <row r="406">
          <cell r="A406">
            <v>45148</v>
          </cell>
          <cell r="B406">
            <v>329.4</v>
          </cell>
        </row>
        <row r="407">
          <cell r="A407">
            <v>45147</v>
          </cell>
          <cell r="B407">
            <v>328.21</v>
          </cell>
        </row>
        <row r="408">
          <cell r="A408">
            <v>45146</v>
          </cell>
          <cell r="B408">
            <v>327.81</v>
          </cell>
        </row>
        <row r="409">
          <cell r="A409">
            <v>45145</v>
          </cell>
          <cell r="B409">
            <v>329.17</v>
          </cell>
        </row>
        <row r="410">
          <cell r="A410">
            <v>45142</v>
          </cell>
          <cell r="B410">
            <v>326.43</v>
          </cell>
        </row>
        <row r="411">
          <cell r="A411">
            <v>45141</v>
          </cell>
          <cell r="B411">
            <v>329.85</v>
          </cell>
        </row>
        <row r="412">
          <cell r="A412">
            <v>45140</v>
          </cell>
          <cell r="B412">
            <v>328.5</v>
          </cell>
        </row>
        <row r="413">
          <cell r="A413">
            <v>45139</v>
          </cell>
          <cell r="B413">
            <v>332.07</v>
          </cell>
        </row>
        <row r="414">
          <cell r="A414">
            <v>45138</v>
          </cell>
          <cell r="B414">
            <v>333.84</v>
          </cell>
        </row>
        <row r="415">
          <cell r="A415">
            <v>45135</v>
          </cell>
          <cell r="B415">
            <v>331.37</v>
          </cell>
        </row>
        <row r="416">
          <cell r="A416">
            <v>45134</v>
          </cell>
          <cell r="B416">
            <v>329.71</v>
          </cell>
        </row>
        <row r="417">
          <cell r="A417">
            <v>45133</v>
          </cell>
          <cell r="B417">
            <v>329.59</v>
          </cell>
        </row>
        <row r="418">
          <cell r="A418">
            <v>45132</v>
          </cell>
          <cell r="B418">
            <v>325.13</v>
          </cell>
        </row>
        <row r="419">
          <cell r="A419">
            <v>45131</v>
          </cell>
          <cell r="B419">
            <v>325.11</v>
          </cell>
        </row>
        <row r="420">
          <cell r="A420">
            <v>45128</v>
          </cell>
          <cell r="B420">
            <v>320.47000000000003</v>
          </cell>
        </row>
        <row r="421">
          <cell r="A421">
            <v>45127</v>
          </cell>
          <cell r="B421">
            <v>319.08999999999997</v>
          </cell>
        </row>
        <row r="422">
          <cell r="A422">
            <v>45126</v>
          </cell>
          <cell r="B422">
            <v>319.48</v>
          </cell>
        </row>
        <row r="423">
          <cell r="A423">
            <v>45125</v>
          </cell>
          <cell r="B423">
            <v>316.76</v>
          </cell>
        </row>
        <row r="424">
          <cell r="A424">
            <v>45124</v>
          </cell>
          <cell r="B424">
            <v>316.05</v>
          </cell>
        </row>
        <row r="425">
          <cell r="A425">
            <v>45121</v>
          </cell>
          <cell r="B425">
            <v>316.5</v>
          </cell>
        </row>
        <row r="426">
          <cell r="A426">
            <v>45120</v>
          </cell>
          <cell r="B426">
            <v>314.60000000000002</v>
          </cell>
        </row>
        <row r="427">
          <cell r="A427">
            <v>45119</v>
          </cell>
          <cell r="B427">
            <v>317.52</v>
          </cell>
        </row>
        <row r="428">
          <cell r="A428">
            <v>45118</v>
          </cell>
          <cell r="B428">
            <v>313.66000000000003</v>
          </cell>
        </row>
        <row r="429">
          <cell r="A429">
            <v>45117</v>
          </cell>
          <cell r="B429">
            <v>310.27999999999997</v>
          </cell>
        </row>
        <row r="430">
          <cell r="A430">
            <v>45114</v>
          </cell>
          <cell r="B430">
            <v>302.81</v>
          </cell>
        </row>
        <row r="431">
          <cell r="A431">
            <v>45113</v>
          </cell>
          <cell r="B431">
            <v>302.02</v>
          </cell>
        </row>
        <row r="432">
          <cell r="A432">
            <v>45112</v>
          </cell>
          <cell r="B432">
            <v>310.8</v>
          </cell>
        </row>
        <row r="433">
          <cell r="A433">
            <v>45110</v>
          </cell>
          <cell r="B433">
            <v>310.02</v>
          </cell>
        </row>
        <row r="434">
          <cell r="A434">
            <v>45107</v>
          </cell>
          <cell r="B434">
            <v>310.64</v>
          </cell>
        </row>
        <row r="435">
          <cell r="A435">
            <v>45106</v>
          </cell>
          <cell r="B435">
            <v>307.82</v>
          </cell>
        </row>
        <row r="436">
          <cell r="A436">
            <v>45105</v>
          </cell>
          <cell r="B436">
            <v>306.51</v>
          </cell>
        </row>
        <row r="437">
          <cell r="A437">
            <v>45104</v>
          </cell>
          <cell r="B437">
            <v>313.74</v>
          </cell>
        </row>
        <row r="438">
          <cell r="A438">
            <v>45103</v>
          </cell>
          <cell r="B438">
            <v>307.89</v>
          </cell>
        </row>
        <row r="439">
          <cell r="A439">
            <v>45100</v>
          </cell>
          <cell r="B439">
            <v>300.81</v>
          </cell>
        </row>
        <row r="440">
          <cell r="A440">
            <v>45099</v>
          </cell>
          <cell r="B440">
            <v>301.18</v>
          </cell>
        </row>
        <row r="441">
          <cell r="A441">
            <v>45098</v>
          </cell>
          <cell r="B441">
            <v>300.7</v>
          </cell>
        </row>
        <row r="442">
          <cell r="A442">
            <v>45097</v>
          </cell>
          <cell r="B442">
            <v>301.41000000000003</v>
          </cell>
        </row>
        <row r="443">
          <cell r="A443">
            <v>45093</v>
          </cell>
          <cell r="B443">
            <v>300.38</v>
          </cell>
        </row>
        <row r="444">
          <cell r="A444">
            <v>45092</v>
          </cell>
          <cell r="B444">
            <v>302.02</v>
          </cell>
        </row>
        <row r="445">
          <cell r="A445">
            <v>45091</v>
          </cell>
          <cell r="B445">
            <v>299.70999999999998</v>
          </cell>
        </row>
        <row r="446">
          <cell r="A446">
            <v>45090</v>
          </cell>
          <cell r="B446">
            <v>300.08</v>
          </cell>
        </row>
        <row r="447">
          <cell r="A447">
            <v>45089</v>
          </cell>
          <cell r="B447">
            <v>300.86</v>
          </cell>
        </row>
        <row r="448">
          <cell r="A448">
            <v>45086</v>
          </cell>
          <cell r="B448">
            <v>297.35000000000002</v>
          </cell>
        </row>
        <row r="449">
          <cell r="A449">
            <v>45085</v>
          </cell>
          <cell r="B449">
            <v>301.08999999999997</v>
          </cell>
        </row>
        <row r="450">
          <cell r="A450">
            <v>45084</v>
          </cell>
          <cell r="B450">
            <v>301.7</v>
          </cell>
        </row>
        <row r="451">
          <cell r="A451">
            <v>45083</v>
          </cell>
          <cell r="B451">
            <v>296</v>
          </cell>
        </row>
        <row r="452">
          <cell r="A452">
            <v>45082</v>
          </cell>
          <cell r="B452">
            <v>293.10000000000002</v>
          </cell>
        </row>
        <row r="453">
          <cell r="A453">
            <v>45079</v>
          </cell>
          <cell r="B453">
            <v>295.94</v>
          </cell>
        </row>
        <row r="454">
          <cell r="A454">
            <v>45078</v>
          </cell>
          <cell r="B454">
            <v>288.39</v>
          </cell>
        </row>
        <row r="455">
          <cell r="A455">
            <v>45077</v>
          </cell>
          <cell r="B455">
            <v>283.45</v>
          </cell>
        </row>
        <row r="456">
          <cell r="A456">
            <v>45076</v>
          </cell>
          <cell r="B456">
            <v>292.39999999999998</v>
          </cell>
        </row>
        <row r="457">
          <cell r="A457">
            <v>45072</v>
          </cell>
          <cell r="B457">
            <v>292.83</v>
          </cell>
        </row>
        <row r="458">
          <cell r="A458">
            <v>45071</v>
          </cell>
          <cell r="B458">
            <v>286.75</v>
          </cell>
        </row>
        <row r="459">
          <cell r="A459">
            <v>45070</v>
          </cell>
          <cell r="B459">
            <v>291.10000000000002</v>
          </cell>
        </row>
        <row r="460">
          <cell r="A460">
            <v>45069</v>
          </cell>
          <cell r="B460">
            <v>294.94</v>
          </cell>
        </row>
        <row r="461">
          <cell r="A461">
            <v>45068</v>
          </cell>
          <cell r="B461">
            <v>290.66000000000003</v>
          </cell>
        </row>
        <row r="462">
          <cell r="A462">
            <v>45065</v>
          </cell>
          <cell r="B462">
            <v>290.88</v>
          </cell>
        </row>
        <row r="463">
          <cell r="A463">
            <v>45064</v>
          </cell>
          <cell r="B463">
            <v>295.16000000000003</v>
          </cell>
        </row>
        <row r="464">
          <cell r="A464">
            <v>45063</v>
          </cell>
          <cell r="B464">
            <v>292.39</v>
          </cell>
        </row>
        <row r="465">
          <cell r="A465">
            <v>45062</v>
          </cell>
          <cell r="B465">
            <v>282.33</v>
          </cell>
        </row>
        <row r="466">
          <cell r="A466">
            <v>45061</v>
          </cell>
          <cell r="B466">
            <v>288.54000000000002</v>
          </cell>
        </row>
        <row r="467">
          <cell r="A467">
            <v>45058</v>
          </cell>
          <cell r="B467">
            <v>290.47000000000003</v>
          </cell>
        </row>
        <row r="468">
          <cell r="A468">
            <v>45057</v>
          </cell>
          <cell r="B468">
            <v>287.69</v>
          </cell>
        </row>
        <row r="469">
          <cell r="A469">
            <v>45056</v>
          </cell>
          <cell r="B469">
            <v>289.02999999999997</v>
          </cell>
        </row>
        <row r="470">
          <cell r="A470">
            <v>45055</v>
          </cell>
          <cell r="B470">
            <v>290.58</v>
          </cell>
        </row>
        <row r="471">
          <cell r="A471">
            <v>45054</v>
          </cell>
          <cell r="B471">
            <v>287.93</v>
          </cell>
        </row>
        <row r="472">
          <cell r="A472">
            <v>45051</v>
          </cell>
          <cell r="B472">
            <v>289.62</v>
          </cell>
        </row>
        <row r="473">
          <cell r="A473">
            <v>45050</v>
          </cell>
          <cell r="B473">
            <v>285.75</v>
          </cell>
        </row>
        <row r="474">
          <cell r="A474">
            <v>45049</v>
          </cell>
          <cell r="B474">
            <v>293.08</v>
          </cell>
        </row>
        <row r="475">
          <cell r="A475">
            <v>45048</v>
          </cell>
          <cell r="B475">
            <v>294.27999999999997</v>
          </cell>
        </row>
        <row r="476">
          <cell r="A476">
            <v>45047</v>
          </cell>
          <cell r="B476">
            <v>297.7</v>
          </cell>
        </row>
        <row r="477">
          <cell r="A477">
            <v>45044</v>
          </cell>
          <cell r="B477">
            <v>300.54000000000002</v>
          </cell>
        </row>
        <row r="478">
          <cell r="A478">
            <v>45043</v>
          </cell>
          <cell r="B478">
            <v>293.93</v>
          </cell>
        </row>
        <row r="479">
          <cell r="A479">
            <v>45042</v>
          </cell>
          <cell r="B479">
            <v>288.07</v>
          </cell>
        </row>
        <row r="480">
          <cell r="A480">
            <v>45041</v>
          </cell>
          <cell r="B480">
            <v>296.33</v>
          </cell>
        </row>
        <row r="481">
          <cell r="A481">
            <v>45040</v>
          </cell>
          <cell r="B481">
            <v>301.64</v>
          </cell>
        </row>
        <row r="482">
          <cell r="A482">
            <v>45037</v>
          </cell>
          <cell r="B482">
            <v>300.04000000000002</v>
          </cell>
        </row>
        <row r="483">
          <cell r="A483">
            <v>45036</v>
          </cell>
          <cell r="B483">
            <v>298.57</v>
          </cell>
        </row>
        <row r="484">
          <cell r="A484">
            <v>45035</v>
          </cell>
          <cell r="B484">
            <v>296.91000000000003</v>
          </cell>
        </row>
        <row r="485">
          <cell r="A485">
            <v>45034</v>
          </cell>
          <cell r="B485">
            <v>298.95</v>
          </cell>
        </row>
        <row r="486">
          <cell r="A486">
            <v>45033</v>
          </cell>
          <cell r="B486">
            <v>295.39999999999998</v>
          </cell>
        </row>
        <row r="487">
          <cell r="A487">
            <v>45030</v>
          </cell>
          <cell r="B487">
            <v>292.19</v>
          </cell>
        </row>
        <row r="488">
          <cell r="A488">
            <v>45029</v>
          </cell>
          <cell r="B488">
            <v>292.14999999999998</v>
          </cell>
        </row>
        <row r="489">
          <cell r="A489">
            <v>45028</v>
          </cell>
          <cell r="B489">
            <v>290.44</v>
          </cell>
        </row>
        <row r="490">
          <cell r="A490">
            <v>45027</v>
          </cell>
          <cell r="B490">
            <v>293.77</v>
          </cell>
        </row>
        <row r="491">
          <cell r="A491">
            <v>45026</v>
          </cell>
          <cell r="B491">
            <v>291.17</v>
          </cell>
        </row>
        <row r="492">
          <cell r="A492">
            <v>45022</v>
          </cell>
          <cell r="B492">
            <v>288.61</v>
          </cell>
        </row>
        <row r="493">
          <cell r="A493">
            <v>45021</v>
          </cell>
          <cell r="B493">
            <v>288.67</v>
          </cell>
        </row>
        <row r="494">
          <cell r="A494">
            <v>45020</v>
          </cell>
          <cell r="B494">
            <v>294.95999999999998</v>
          </cell>
        </row>
        <row r="495">
          <cell r="A495">
            <v>45019</v>
          </cell>
          <cell r="B495">
            <v>297.73</v>
          </cell>
        </row>
        <row r="496">
          <cell r="A496">
            <v>45016</v>
          </cell>
          <cell r="B496">
            <v>295.12</v>
          </cell>
        </row>
        <row r="497">
          <cell r="A497">
            <v>45015</v>
          </cell>
          <cell r="B497">
            <v>285.36</v>
          </cell>
        </row>
        <row r="498">
          <cell r="A498">
            <v>45014</v>
          </cell>
          <cell r="B498">
            <v>283.36</v>
          </cell>
        </row>
        <row r="499">
          <cell r="A499">
            <v>45013</v>
          </cell>
          <cell r="B499">
            <v>280.82</v>
          </cell>
        </row>
        <row r="500">
          <cell r="A500">
            <v>45012</v>
          </cell>
          <cell r="B500">
            <v>281.27</v>
          </cell>
        </row>
        <row r="501">
          <cell r="A501">
            <v>45009</v>
          </cell>
          <cell r="B501">
            <v>283.02</v>
          </cell>
        </row>
        <row r="502">
          <cell r="A502">
            <v>45008</v>
          </cell>
          <cell r="B502">
            <v>283.91000000000003</v>
          </cell>
        </row>
        <row r="503">
          <cell r="A503">
            <v>45007</v>
          </cell>
          <cell r="B503">
            <v>282.61</v>
          </cell>
        </row>
        <row r="504">
          <cell r="A504">
            <v>45006</v>
          </cell>
          <cell r="B504">
            <v>289.43</v>
          </cell>
        </row>
        <row r="505">
          <cell r="A505">
            <v>45005</v>
          </cell>
          <cell r="B505">
            <v>289.26</v>
          </cell>
        </row>
        <row r="506">
          <cell r="A506">
            <v>45002</v>
          </cell>
          <cell r="B506">
            <v>288.39</v>
          </cell>
        </row>
        <row r="507">
          <cell r="A507">
            <v>45001</v>
          </cell>
          <cell r="B507">
            <v>286.73</v>
          </cell>
        </row>
        <row r="508">
          <cell r="A508">
            <v>45000</v>
          </cell>
          <cell r="B508">
            <v>287.97000000000003</v>
          </cell>
        </row>
        <row r="509">
          <cell r="A509">
            <v>44999</v>
          </cell>
          <cell r="B509">
            <v>285.57</v>
          </cell>
        </row>
        <row r="510">
          <cell r="A510">
            <v>44998</v>
          </cell>
          <cell r="B510">
            <v>286.52</v>
          </cell>
        </row>
        <row r="511">
          <cell r="A511">
            <v>44995</v>
          </cell>
          <cell r="B511">
            <v>286.31</v>
          </cell>
        </row>
        <row r="512">
          <cell r="A512">
            <v>44994</v>
          </cell>
          <cell r="B512">
            <v>288</v>
          </cell>
        </row>
        <row r="513">
          <cell r="A513">
            <v>44993</v>
          </cell>
          <cell r="B513">
            <v>291.49</v>
          </cell>
        </row>
        <row r="514">
          <cell r="A514">
            <v>44992</v>
          </cell>
          <cell r="B514">
            <v>290.7</v>
          </cell>
        </row>
        <row r="515">
          <cell r="A515">
            <v>44991</v>
          </cell>
          <cell r="B515">
            <v>298.20999999999998</v>
          </cell>
        </row>
        <row r="516">
          <cell r="A516">
            <v>44988</v>
          </cell>
          <cell r="B516">
            <v>298.45</v>
          </cell>
        </row>
        <row r="517">
          <cell r="A517">
            <v>44987</v>
          </cell>
          <cell r="B517">
            <v>293.02</v>
          </cell>
        </row>
        <row r="518">
          <cell r="A518">
            <v>44986</v>
          </cell>
          <cell r="B518">
            <v>290.79000000000002</v>
          </cell>
        </row>
        <row r="519">
          <cell r="A519">
            <v>44985</v>
          </cell>
          <cell r="B519">
            <v>296.54000000000002</v>
          </cell>
        </row>
        <row r="520">
          <cell r="A520">
            <v>44984</v>
          </cell>
          <cell r="B520">
            <v>296.01</v>
          </cell>
        </row>
        <row r="521">
          <cell r="A521">
            <v>44981</v>
          </cell>
          <cell r="B521">
            <v>296.66000000000003</v>
          </cell>
        </row>
        <row r="522">
          <cell r="A522">
            <v>44980</v>
          </cell>
          <cell r="B522">
            <v>299.31</v>
          </cell>
        </row>
        <row r="523">
          <cell r="A523">
            <v>44979</v>
          </cell>
          <cell r="B523">
            <v>296.3</v>
          </cell>
        </row>
        <row r="524">
          <cell r="A524">
            <v>44978</v>
          </cell>
          <cell r="B524">
            <v>295.5</v>
          </cell>
        </row>
        <row r="525">
          <cell r="A525">
            <v>44974</v>
          </cell>
          <cell r="B525">
            <v>317.95</v>
          </cell>
        </row>
        <row r="526">
          <cell r="A526">
            <v>44973</v>
          </cell>
          <cell r="B526">
            <v>321.24</v>
          </cell>
        </row>
        <row r="527">
          <cell r="A527">
            <v>44972</v>
          </cell>
          <cell r="B527">
            <v>320.69</v>
          </cell>
        </row>
        <row r="528">
          <cell r="A528">
            <v>44971</v>
          </cell>
          <cell r="B528">
            <v>318.43</v>
          </cell>
        </row>
        <row r="529">
          <cell r="A529">
            <v>44970</v>
          </cell>
          <cell r="B529">
            <v>323.52999999999997</v>
          </cell>
        </row>
        <row r="530">
          <cell r="A530">
            <v>44967</v>
          </cell>
          <cell r="B530">
            <v>316.54000000000002</v>
          </cell>
        </row>
        <row r="531">
          <cell r="A531">
            <v>44966</v>
          </cell>
          <cell r="B531">
            <v>315.55</v>
          </cell>
        </row>
        <row r="532">
          <cell r="A532">
            <v>44965</v>
          </cell>
          <cell r="B532">
            <v>320.79000000000002</v>
          </cell>
        </row>
        <row r="533">
          <cell r="A533">
            <v>44964</v>
          </cell>
          <cell r="B533">
            <v>325.2</v>
          </cell>
        </row>
        <row r="534">
          <cell r="A534">
            <v>44963</v>
          </cell>
          <cell r="B534">
            <v>329.27</v>
          </cell>
        </row>
        <row r="535">
          <cell r="A535">
            <v>44960</v>
          </cell>
          <cell r="B535">
            <v>331.5</v>
          </cell>
        </row>
        <row r="536">
          <cell r="A536">
            <v>44959</v>
          </cell>
          <cell r="B536">
            <v>339.79</v>
          </cell>
        </row>
        <row r="537">
          <cell r="A537">
            <v>44958</v>
          </cell>
          <cell r="B537">
            <v>328.09</v>
          </cell>
        </row>
        <row r="538">
          <cell r="A538">
            <v>44957</v>
          </cell>
          <cell r="B538">
            <v>324.17</v>
          </cell>
        </row>
        <row r="539">
          <cell r="A539">
            <v>44956</v>
          </cell>
          <cell r="B539">
            <v>314.24</v>
          </cell>
        </row>
        <row r="540">
          <cell r="A540">
            <v>44953</v>
          </cell>
          <cell r="B540">
            <v>316.69</v>
          </cell>
        </row>
        <row r="541">
          <cell r="A541">
            <v>44952</v>
          </cell>
          <cell r="B541">
            <v>313.81</v>
          </cell>
        </row>
        <row r="542">
          <cell r="A542">
            <v>44951</v>
          </cell>
          <cell r="B542">
            <v>317.26</v>
          </cell>
        </row>
        <row r="543">
          <cell r="A543">
            <v>44950</v>
          </cell>
          <cell r="B543">
            <v>317.69</v>
          </cell>
        </row>
        <row r="544">
          <cell r="A544">
            <v>44949</v>
          </cell>
          <cell r="B544">
            <v>315.48</v>
          </cell>
        </row>
        <row r="545">
          <cell r="A545">
            <v>44946</v>
          </cell>
          <cell r="B545">
            <v>315</v>
          </cell>
        </row>
        <row r="546">
          <cell r="A546">
            <v>44945</v>
          </cell>
          <cell r="B546">
            <v>310.88</v>
          </cell>
        </row>
        <row r="547">
          <cell r="A547">
            <v>44944</v>
          </cell>
          <cell r="B547">
            <v>323.69</v>
          </cell>
        </row>
        <row r="548">
          <cell r="A548">
            <v>44943</v>
          </cell>
          <cell r="B548">
            <v>327.52999999999997</v>
          </cell>
        </row>
        <row r="549">
          <cell r="A549">
            <v>44939</v>
          </cell>
          <cell r="B549">
            <v>331.21</v>
          </cell>
        </row>
        <row r="550">
          <cell r="A550">
            <v>44938</v>
          </cell>
          <cell r="B550">
            <v>329.87</v>
          </cell>
        </row>
        <row r="551">
          <cell r="A551">
            <v>44937</v>
          </cell>
          <cell r="B551">
            <v>329</v>
          </cell>
        </row>
        <row r="552">
          <cell r="A552">
            <v>44936</v>
          </cell>
          <cell r="B552">
            <v>320.63</v>
          </cell>
        </row>
        <row r="553">
          <cell r="A553">
            <v>44935</v>
          </cell>
          <cell r="B553">
            <v>317.81</v>
          </cell>
        </row>
        <row r="554">
          <cell r="A554">
            <v>44932</v>
          </cell>
          <cell r="B554">
            <v>317.52999999999997</v>
          </cell>
        </row>
        <row r="555">
          <cell r="A555">
            <v>44931</v>
          </cell>
          <cell r="B555">
            <v>315.47000000000003</v>
          </cell>
        </row>
        <row r="556">
          <cell r="A556">
            <v>44930</v>
          </cell>
          <cell r="B556">
            <v>319.73</v>
          </cell>
        </row>
        <row r="557">
          <cell r="A557">
            <v>44929</v>
          </cell>
          <cell r="B557">
            <v>315.91000000000003</v>
          </cell>
        </row>
        <row r="558">
          <cell r="A558">
            <v>44925</v>
          </cell>
          <cell r="B558">
            <v>315.86</v>
          </cell>
        </row>
        <row r="559">
          <cell r="A559">
            <v>44924</v>
          </cell>
          <cell r="B559">
            <v>320.41000000000003</v>
          </cell>
        </row>
        <row r="560">
          <cell r="A560">
            <v>44923</v>
          </cell>
          <cell r="B560">
            <v>315.73</v>
          </cell>
        </row>
        <row r="561">
          <cell r="A561">
            <v>44922</v>
          </cell>
          <cell r="B561">
            <v>319.55</v>
          </cell>
        </row>
        <row r="562">
          <cell r="A562">
            <v>44918</v>
          </cell>
          <cell r="B562">
            <v>318.73</v>
          </cell>
        </row>
        <row r="563">
          <cell r="A563">
            <v>44917</v>
          </cell>
          <cell r="B563">
            <v>316.12</v>
          </cell>
        </row>
        <row r="564">
          <cell r="A564">
            <v>44916</v>
          </cell>
          <cell r="B564">
            <v>319.36</v>
          </cell>
        </row>
        <row r="565">
          <cell r="A565">
            <v>44915</v>
          </cell>
          <cell r="B565">
            <v>314.83999999999997</v>
          </cell>
        </row>
        <row r="566">
          <cell r="A566">
            <v>44914</v>
          </cell>
          <cell r="B566">
            <v>317.33</v>
          </cell>
        </row>
        <row r="567">
          <cell r="A567">
            <v>44911</v>
          </cell>
          <cell r="B567">
            <v>323.33999999999997</v>
          </cell>
        </row>
        <row r="568">
          <cell r="A568">
            <v>44910</v>
          </cell>
          <cell r="B568">
            <v>327.60000000000002</v>
          </cell>
        </row>
        <row r="569">
          <cell r="A569">
            <v>44909</v>
          </cell>
          <cell r="B569">
            <v>333.43</v>
          </cell>
        </row>
        <row r="570">
          <cell r="A570">
            <v>44908</v>
          </cell>
          <cell r="B570">
            <v>332.89</v>
          </cell>
        </row>
        <row r="571">
          <cell r="A571">
            <v>44907</v>
          </cell>
          <cell r="B571">
            <v>327.98</v>
          </cell>
        </row>
        <row r="572">
          <cell r="A572">
            <v>44904</v>
          </cell>
          <cell r="B572">
            <v>320.48</v>
          </cell>
        </row>
        <row r="573">
          <cell r="A573">
            <v>44903</v>
          </cell>
          <cell r="B573">
            <v>324.08999999999997</v>
          </cell>
        </row>
        <row r="574">
          <cell r="A574">
            <v>44902</v>
          </cell>
          <cell r="B574">
            <v>320.14999999999998</v>
          </cell>
        </row>
        <row r="575">
          <cell r="A575">
            <v>44901</v>
          </cell>
          <cell r="B575">
            <v>317.45</v>
          </cell>
        </row>
        <row r="576">
          <cell r="A576">
            <v>44900</v>
          </cell>
          <cell r="B576">
            <v>320.08</v>
          </cell>
        </row>
        <row r="577">
          <cell r="A577">
            <v>44897</v>
          </cell>
          <cell r="B577">
            <v>327.99</v>
          </cell>
        </row>
        <row r="578">
          <cell r="A578">
            <v>44896</v>
          </cell>
          <cell r="B578">
            <v>327.07</v>
          </cell>
        </row>
        <row r="579">
          <cell r="A579">
            <v>44895</v>
          </cell>
          <cell r="B579">
            <v>323.99</v>
          </cell>
        </row>
        <row r="580">
          <cell r="A580">
            <v>44894</v>
          </cell>
          <cell r="B580">
            <v>315.95999999999998</v>
          </cell>
        </row>
        <row r="581">
          <cell r="A581">
            <v>44893</v>
          </cell>
          <cell r="B581">
            <v>318.92</v>
          </cell>
        </row>
        <row r="582">
          <cell r="A582">
            <v>44890</v>
          </cell>
          <cell r="B582">
            <v>326.38</v>
          </cell>
        </row>
        <row r="583">
          <cell r="A583">
            <v>44888</v>
          </cell>
          <cell r="B583">
            <v>321.51</v>
          </cell>
        </row>
        <row r="584">
          <cell r="A584">
            <v>44887</v>
          </cell>
          <cell r="B584">
            <v>324.88</v>
          </cell>
        </row>
        <row r="585">
          <cell r="A585">
            <v>44886</v>
          </cell>
          <cell r="B585">
            <v>316.77999999999997</v>
          </cell>
        </row>
        <row r="586">
          <cell r="A586">
            <v>44883</v>
          </cell>
          <cell r="B586">
            <v>313.18</v>
          </cell>
        </row>
        <row r="587">
          <cell r="A587">
            <v>44882</v>
          </cell>
          <cell r="B587">
            <v>311.44</v>
          </cell>
        </row>
        <row r="588">
          <cell r="A588">
            <v>44881</v>
          </cell>
          <cell r="B588">
            <v>314.91000000000003</v>
          </cell>
        </row>
        <row r="589">
          <cell r="A589">
            <v>44880</v>
          </cell>
          <cell r="B589">
            <v>311.93</v>
          </cell>
        </row>
        <row r="590">
          <cell r="A590">
            <v>44879</v>
          </cell>
          <cell r="B590">
            <v>306.92</v>
          </cell>
        </row>
        <row r="591">
          <cell r="A591">
            <v>44876</v>
          </cell>
          <cell r="B591">
            <v>314.94</v>
          </cell>
        </row>
        <row r="592">
          <cell r="A592">
            <v>44875</v>
          </cell>
          <cell r="B592">
            <v>311.7</v>
          </cell>
        </row>
        <row r="593">
          <cell r="A593">
            <v>44874</v>
          </cell>
          <cell r="B593">
            <v>286.75</v>
          </cell>
        </row>
        <row r="594">
          <cell r="A594">
            <v>44873</v>
          </cell>
          <cell r="B594">
            <v>291.14</v>
          </cell>
        </row>
        <row r="595">
          <cell r="A595">
            <v>44872</v>
          </cell>
          <cell r="B595">
            <v>290.27</v>
          </cell>
        </row>
        <row r="596">
          <cell r="A596">
            <v>44869</v>
          </cell>
          <cell r="B596">
            <v>284.02999999999997</v>
          </cell>
        </row>
        <row r="597">
          <cell r="A597">
            <v>44868</v>
          </cell>
          <cell r="B597">
            <v>281.5</v>
          </cell>
        </row>
        <row r="598">
          <cell r="A598">
            <v>44867</v>
          </cell>
          <cell r="B598">
            <v>288.73</v>
          </cell>
        </row>
        <row r="599">
          <cell r="A599">
            <v>44866</v>
          </cell>
          <cell r="B599">
            <v>296.06</v>
          </cell>
        </row>
        <row r="600">
          <cell r="A600">
            <v>44865</v>
          </cell>
          <cell r="B600">
            <v>296.13</v>
          </cell>
        </row>
        <row r="601">
          <cell r="A601">
            <v>44862</v>
          </cell>
          <cell r="B601">
            <v>298.64999999999998</v>
          </cell>
        </row>
        <row r="602">
          <cell r="A602">
            <v>44861</v>
          </cell>
          <cell r="B602">
            <v>291.06</v>
          </cell>
        </row>
        <row r="603">
          <cell r="A603">
            <v>44860</v>
          </cell>
          <cell r="B603">
            <v>290.14999999999998</v>
          </cell>
        </row>
        <row r="604">
          <cell r="A604">
            <v>44859</v>
          </cell>
          <cell r="B604">
            <v>290.26</v>
          </cell>
        </row>
        <row r="605">
          <cell r="A605">
            <v>44858</v>
          </cell>
          <cell r="B605">
            <v>283.26</v>
          </cell>
        </row>
        <row r="606">
          <cell r="A606">
            <v>44855</v>
          </cell>
          <cell r="B606">
            <v>275.52999999999997</v>
          </cell>
        </row>
        <row r="607">
          <cell r="A607">
            <v>44854</v>
          </cell>
          <cell r="B607">
            <v>269.45999999999998</v>
          </cell>
        </row>
        <row r="608">
          <cell r="A608">
            <v>44853</v>
          </cell>
          <cell r="B608">
            <v>275.49</v>
          </cell>
        </row>
        <row r="609">
          <cell r="A609">
            <v>44852</v>
          </cell>
          <cell r="B609">
            <v>285.06</v>
          </cell>
        </row>
        <row r="610">
          <cell r="A610">
            <v>44851</v>
          </cell>
          <cell r="B610">
            <v>281.26</v>
          </cell>
        </row>
        <row r="611">
          <cell r="A611">
            <v>44848</v>
          </cell>
          <cell r="B611">
            <v>276.43</v>
          </cell>
        </row>
        <row r="612">
          <cell r="A612">
            <v>44847</v>
          </cell>
          <cell r="B612">
            <v>282.83</v>
          </cell>
        </row>
        <row r="613">
          <cell r="A613">
            <v>44846</v>
          </cell>
          <cell r="B613">
            <v>280.52</v>
          </cell>
        </row>
        <row r="614">
          <cell r="A614">
            <v>44845</v>
          </cell>
          <cell r="B614">
            <v>282.89</v>
          </cell>
        </row>
        <row r="615">
          <cell r="A615">
            <v>44844</v>
          </cell>
          <cell r="B615">
            <v>282.45999999999998</v>
          </cell>
        </row>
        <row r="616">
          <cell r="A616">
            <v>44841</v>
          </cell>
          <cell r="B616">
            <v>284.32</v>
          </cell>
        </row>
        <row r="617">
          <cell r="A617">
            <v>44840</v>
          </cell>
          <cell r="B617">
            <v>290.39</v>
          </cell>
        </row>
        <row r="618">
          <cell r="A618">
            <v>44839</v>
          </cell>
          <cell r="B618">
            <v>289.85000000000002</v>
          </cell>
        </row>
        <row r="619">
          <cell r="A619">
            <v>44838</v>
          </cell>
          <cell r="B619">
            <v>289.56</v>
          </cell>
        </row>
        <row r="620">
          <cell r="A620">
            <v>44837</v>
          </cell>
          <cell r="B620">
            <v>283.7</v>
          </cell>
        </row>
        <row r="621">
          <cell r="A621">
            <v>44834</v>
          </cell>
          <cell r="B621">
            <v>275.94</v>
          </cell>
        </row>
        <row r="622">
          <cell r="A622">
            <v>44833</v>
          </cell>
          <cell r="B622">
            <v>278.33</v>
          </cell>
        </row>
        <row r="623">
          <cell r="A623">
            <v>44832</v>
          </cell>
          <cell r="B623">
            <v>282.19</v>
          </cell>
        </row>
        <row r="624">
          <cell r="A624">
            <v>44831</v>
          </cell>
          <cell r="B624">
            <v>268.69</v>
          </cell>
        </row>
        <row r="625">
          <cell r="A625">
            <v>44830</v>
          </cell>
          <cell r="B625">
            <v>266.58</v>
          </cell>
        </row>
        <row r="626">
          <cell r="A626">
            <v>44827</v>
          </cell>
          <cell r="B626">
            <v>270.94</v>
          </cell>
        </row>
        <row r="627">
          <cell r="A627">
            <v>44826</v>
          </cell>
          <cell r="B627">
            <v>269.14</v>
          </cell>
        </row>
        <row r="628">
          <cell r="A628">
            <v>44825</v>
          </cell>
          <cell r="B628">
            <v>271.57</v>
          </cell>
        </row>
        <row r="629">
          <cell r="A629">
            <v>44824</v>
          </cell>
          <cell r="B629">
            <v>274.17</v>
          </cell>
        </row>
        <row r="630">
          <cell r="A630">
            <v>44823</v>
          </cell>
          <cell r="B630">
            <v>280.42</v>
          </cell>
        </row>
        <row r="631">
          <cell r="A631">
            <v>44820</v>
          </cell>
          <cell r="B631">
            <v>275.97000000000003</v>
          </cell>
        </row>
        <row r="632">
          <cell r="A632">
            <v>44819</v>
          </cell>
          <cell r="B632">
            <v>271.54000000000002</v>
          </cell>
        </row>
        <row r="633">
          <cell r="A633">
            <v>44818</v>
          </cell>
          <cell r="B633">
            <v>276.33999999999997</v>
          </cell>
        </row>
        <row r="634">
          <cell r="A634">
            <v>44817</v>
          </cell>
          <cell r="B634">
            <v>277.93</v>
          </cell>
        </row>
        <row r="635">
          <cell r="A635">
            <v>44816</v>
          </cell>
          <cell r="B635">
            <v>297.54000000000002</v>
          </cell>
        </row>
        <row r="636">
          <cell r="A636">
            <v>44813</v>
          </cell>
          <cell r="B636">
            <v>299.77</v>
          </cell>
        </row>
        <row r="637">
          <cell r="A637">
            <v>44812</v>
          </cell>
          <cell r="B637">
            <v>299.89999999999998</v>
          </cell>
        </row>
        <row r="638">
          <cell r="A638">
            <v>44811</v>
          </cell>
          <cell r="B638">
            <v>297.47000000000003</v>
          </cell>
        </row>
        <row r="639">
          <cell r="A639">
            <v>44810</v>
          </cell>
          <cell r="B639">
            <v>289.54000000000002</v>
          </cell>
        </row>
        <row r="640">
          <cell r="A640">
            <v>44806</v>
          </cell>
          <cell r="B640">
            <v>291.89999999999998</v>
          </cell>
        </row>
        <row r="641">
          <cell r="A641">
            <v>44805</v>
          </cell>
          <cell r="B641">
            <v>293.37</v>
          </cell>
        </row>
        <row r="642">
          <cell r="A642">
            <v>44804</v>
          </cell>
          <cell r="B642">
            <v>288.42</v>
          </cell>
        </row>
        <row r="643">
          <cell r="A643">
            <v>44803</v>
          </cell>
          <cell r="B643">
            <v>293.10000000000002</v>
          </cell>
        </row>
        <row r="644">
          <cell r="A644">
            <v>44802</v>
          </cell>
          <cell r="B644">
            <v>296.32</v>
          </cell>
        </row>
        <row r="645">
          <cell r="A645">
            <v>44799</v>
          </cell>
          <cell r="B645">
            <v>298.10000000000002</v>
          </cell>
        </row>
        <row r="646">
          <cell r="A646">
            <v>44798</v>
          </cell>
          <cell r="B646">
            <v>309.77999999999997</v>
          </cell>
        </row>
        <row r="647">
          <cell r="A647">
            <v>44797</v>
          </cell>
          <cell r="B647">
            <v>308.11</v>
          </cell>
        </row>
        <row r="648">
          <cell r="A648">
            <v>44796</v>
          </cell>
          <cell r="B648">
            <v>306.89999999999998</v>
          </cell>
        </row>
        <row r="649">
          <cell r="A649">
            <v>44795</v>
          </cell>
          <cell r="B649">
            <v>312.20999999999998</v>
          </cell>
        </row>
        <row r="650">
          <cell r="A650">
            <v>44792</v>
          </cell>
          <cell r="B650">
            <v>321.32</v>
          </cell>
        </row>
        <row r="651">
          <cell r="A651">
            <v>44791</v>
          </cell>
          <cell r="B651">
            <v>325.20999999999998</v>
          </cell>
        </row>
        <row r="652">
          <cell r="A652">
            <v>44790</v>
          </cell>
          <cell r="B652">
            <v>325.76</v>
          </cell>
        </row>
        <row r="653">
          <cell r="A653">
            <v>44789</v>
          </cell>
          <cell r="B653">
            <v>327.38</v>
          </cell>
        </row>
        <row r="654">
          <cell r="A654">
            <v>44788</v>
          </cell>
          <cell r="B654">
            <v>314.61</v>
          </cell>
        </row>
        <row r="655">
          <cell r="A655">
            <v>44785</v>
          </cell>
          <cell r="B655">
            <v>314.89</v>
          </cell>
        </row>
        <row r="656">
          <cell r="A656">
            <v>44784</v>
          </cell>
          <cell r="B656">
            <v>310.69</v>
          </cell>
        </row>
        <row r="657">
          <cell r="A657">
            <v>44783</v>
          </cell>
          <cell r="B657">
            <v>311.58</v>
          </cell>
        </row>
        <row r="658">
          <cell r="A658">
            <v>44782</v>
          </cell>
          <cell r="B658">
            <v>305.20999999999998</v>
          </cell>
        </row>
        <row r="659">
          <cell r="A659">
            <v>44781</v>
          </cell>
          <cell r="B659">
            <v>311.97000000000003</v>
          </cell>
        </row>
        <row r="660">
          <cell r="A660">
            <v>44778</v>
          </cell>
          <cell r="B660">
            <v>309.69</v>
          </cell>
        </row>
        <row r="661">
          <cell r="A661">
            <v>44777</v>
          </cell>
          <cell r="B661">
            <v>307.17</v>
          </cell>
        </row>
        <row r="662">
          <cell r="A662">
            <v>44776</v>
          </cell>
          <cell r="B662">
            <v>306.37</v>
          </cell>
        </row>
        <row r="663">
          <cell r="A663">
            <v>44775</v>
          </cell>
          <cell r="B663">
            <v>300.70999999999998</v>
          </cell>
        </row>
        <row r="664">
          <cell r="A664">
            <v>44774</v>
          </cell>
          <cell r="B664">
            <v>305.82</v>
          </cell>
        </row>
        <row r="665">
          <cell r="A665">
            <v>44771</v>
          </cell>
          <cell r="B665">
            <v>300.94</v>
          </cell>
        </row>
        <row r="666">
          <cell r="A666">
            <v>44770</v>
          </cell>
          <cell r="B666">
            <v>299.63</v>
          </cell>
        </row>
        <row r="667">
          <cell r="A667">
            <v>44769</v>
          </cell>
          <cell r="B667">
            <v>298.91000000000003</v>
          </cell>
        </row>
        <row r="668">
          <cell r="A668">
            <v>44768</v>
          </cell>
          <cell r="B668">
            <v>298.18</v>
          </cell>
        </row>
        <row r="669">
          <cell r="A669">
            <v>44767</v>
          </cell>
          <cell r="B669">
            <v>306.14999999999998</v>
          </cell>
        </row>
        <row r="670">
          <cell r="A670">
            <v>44764</v>
          </cell>
          <cell r="B670">
            <v>306.58999999999997</v>
          </cell>
        </row>
        <row r="671">
          <cell r="A671">
            <v>44763</v>
          </cell>
          <cell r="B671">
            <v>305</v>
          </cell>
        </row>
        <row r="672">
          <cell r="A672">
            <v>44762</v>
          </cell>
          <cell r="B672">
            <v>302.3</v>
          </cell>
        </row>
        <row r="673">
          <cell r="A673">
            <v>44761</v>
          </cell>
          <cell r="B673">
            <v>299.83</v>
          </cell>
        </row>
        <row r="674">
          <cell r="A674">
            <v>44760</v>
          </cell>
          <cell r="B674">
            <v>293.05</v>
          </cell>
        </row>
        <row r="675">
          <cell r="A675">
            <v>44757</v>
          </cell>
          <cell r="B675">
            <v>292.41000000000003</v>
          </cell>
        </row>
        <row r="676">
          <cell r="A676">
            <v>44756</v>
          </cell>
          <cell r="B676">
            <v>289.48</v>
          </cell>
        </row>
        <row r="677">
          <cell r="A677">
            <v>44755</v>
          </cell>
          <cell r="B677">
            <v>287.18</v>
          </cell>
        </row>
        <row r="678">
          <cell r="A678">
            <v>44754</v>
          </cell>
          <cell r="B678">
            <v>285.12</v>
          </cell>
        </row>
        <row r="679">
          <cell r="A679">
            <v>44753</v>
          </cell>
          <cell r="B679">
            <v>286.39</v>
          </cell>
        </row>
        <row r="680">
          <cell r="A680">
            <v>44750</v>
          </cell>
          <cell r="B680">
            <v>286.47000000000003</v>
          </cell>
        </row>
        <row r="681">
          <cell r="A681">
            <v>44749</v>
          </cell>
          <cell r="B681">
            <v>286.69</v>
          </cell>
        </row>
        <row r="682">
          <cell r="A682">
            <v>44748</v>
          </cell>
          <cell r="B682">
            <v>283.58</v>
          </cell>
        </row>
        <row r="683">
          <cell r="A683">
            <v>44747</v>
          </cell>
          <cell r="B683">
            <v>283.73</v>
          </cell>
        </row>
        <row r="684">
          <cell r="A684">
            <v>44743</v>
          </cell>
          <cell r="B684">
            <v>279.08</v>
          </cell>
        </row>
        <row r="685">
          <cell r="A685">
            <v>44742</v>
          </cell>
          <cell r="B685">
            <v>274.27</v>
          </cell>
        </row>
        <row r="686">
          <cell r="A686">
            <v>44741</v>
          </cell>
          <cell r="B686">
            <v>273.87</v>
          </cell>
        </row>
        <row r="687">
          <cell r="A687">
            <v>44740</v>
          </cell>
          <cell r="B687">
            <v>270.14999999999998</v>
          </cell>
        </row>
        <row r="688">
          <cell r="A688">
            <v>44739</v>
          </cell>
          <cell r="B688">
            <v>282.69</v>
          </cell>
        </row>
        <row r="689">
          <cell r="A689">
            <v>44736</v>
          </cell>
          <cell r="B689">
            <v>283</v>
          </cell>
        </row>
        <row r="690">
          <cell r="A690">
            <v>44735</v>
          </cell>
          <cell r="B690">
            <v>275.42</v>
          </cell>
        </row>
        <row r="691">
          <cell r="A691">
            <v>44734</v>
          </cell>
          <cell r="B691">
            <v>268.98</v>
          </cell>
        </row>
        <row r="692">
          <cell r="A692">
            <v>44733</v>
          </cell>
          <cell r="B692">
            <v>269.2</v>
          </cell>
        </row>
        <row r="693">
          <cell r="A693">
            <v>44729</v>
          </cell>
          <cell r="B693">
            <v>270.73</v>
          </cell>
        </row>
        <row r="694">
          <cell r="A694">
            <v>44728</v>
          </cell>
          <cell r="B694">
            <v>273.45999999999998</v>
          </cell>
        </row>
        <row r="695">
          <cell r="A695">
            <v>44727</v>
          </cell>
          <cell r="B695">
            <v>279.73</v>
          </cell>
        </row>
        <row r="696">
          <cell r="A696">
            <v>44726</v>
          </cell>
          <cell r="B696">
            <v>278.67</v>
          </cell>
        </row>
        <row r="697">
          <cell r="A697">
            <v>44725</v>
          </cell>
          <cell r="B697">
            <v>283.16000000000003</v>
          </cell>
        </row>
        <row r="698">
          <cell r="A698">
            <v>44722</v>
          </cell>
          <cell r="B698">
            <v>289.24</v>
          </cell>
        </row>
        <row r="699">
          <cell r="A699">
            <v>44721</v>
          </cell>
          <cell r="B699">
            <v>299.86</v>
          </cell>
        </row>
        <row r="700">
          <cell r="A700">
            <v>44720</v>
          </cell>
          <cell r="B700">
            <v>297.52999999999997</v>
          </cell>
        </row>
        <row r="701">
          <cell r="A701">
            <v>44719</v>
          </cell>
          <cell r="B701">
            <v>301.77</v>
          </cell>
        </row>
        <row r="702">
          <cell r="A702">
            <v>44718</v>
          </cell>
          <cell r="B702">
            <v>303.89</v>
          </cell>
        </row>
        <row r="703">
          <cell r="A703">
            <v>44715</v>
          </cell>
          <cell r="B703">
            <v>305.08</v>
          </cell>
        </row>
        <row r="704">
          <cell r="A704">
            <v>44714</v>
          </cell>
          <cell r="B704">
            <v>305.87</v>
          </cell>
        </row>
        <row r="705">
          <cell r="A705">
            <v>44713</v>
          </cell>
          <cell r="B705">
            <v>297.19</v>
          </cell>
        </row>
        <row r="706">
          <cell r="A706">
            <v>44712</v>
          </cell>
          <cell r="B706">
            <v>302.75</v>
          </cell>
        </row>
        <row r="707">
          <cell r="A707">
            <v>44708</v>
          </cell>
          <cell r="B707">
            <v>308.45999999999998</v>
          </cell>
        </row>
        <row r="708">
          <cell r="A708">
            <v>44707</v>
          </cell>
          <cell r="B708">
            <v>302.81</v>
          </cell>
        </row>
        <row r="709">
          <cell r="A709">
            <v>44706</v>
          </cell>
          <cell r="B709">
            <v>293.57</v>
          </cell>
        </row>
        <row r="710">
          <cell r="A710">
            <v>44705</v>
          </cell>
          <cell r="B710">
            <v>287.92</v>
          </cell>
        </row>
        <row r="711">
          <cell r="A711">
            <v>44704</v>
          </cell>
          <cell r="B711">
            <v>286.02999999999997</v>
          </cell>
        </row>
        <row r="712">
          <cell r="A712">
            <v>44701</v>
          </cell>
          <cell r="B712">
            <v>287.19</v>
          </cell>
        </row>
        <row r="713">
          <cell r="A713">
            <v>44700</v>
          </cell>
          <cell r="B713">
            <v>287.76</v>
          </cell>
        </row>
        <row r="714">
          <cell r="A714">
            <v>44699</v>
          </cell>
          <cell r="B714">
            <v>285.18</v>
          </cell>
        </row>
        <row r="715">
          <cell r="A715">
            <v>44698</v>
          </cell>
          <cell r="B715">
            <v>300.95</v>
          </cell>
        </row>
        <row r="716">
          <cell r="A716">
            <v>44697</v>
          </cell>
          <cell r="B716">
            <v>295.99</v>
          </cell>
        </row>
        <row r="717">
          <cell r="A717">
            <v>44694</v>
          </cell>
          <cell r="B717">
            <v>296.02999999999997</v>
          </cell>
        </row>
        <row r="718">
          <cell r="A718">
            <v>44693</v>
          </cell>
          <cell r="B718">
            <v>289.69</v>
          </cell>
        </row>
        <row r="719">
          <cell r="A719">
            <v>44692</v>
          </cell>
          <cell r="B719">
            <v>282.95999999999998</v>
          </cell>
        </row>
        <row r="720">
          <cell r="A720">
            <v>44691</v>
          </cell>
          <cell r="B720">
            <v>291.16000000000003</v>
          </cell>
        </row>
        <row r="721">
          <cell r="A721">
            <v>44690</v>
          </cell>
          <cell r="B721">
            <v>297.02999999999997</v>
          </cell>
        </row>
        <row r="722">
          <cell r="A722">
            <v>44687</v>
          </cell>
          <cell r="B722">
            <v>294.31</v>
          </cell>
        </row>
        <row r="723">
          <cell r="A723">
            <v>44686</v>
          </cell>
          <cell r="B723">
            <v>299.11</v>
          </cell>
        </row>
        <row r="724">
          <cell r="A724">
            <v>44685</v>
          </cell>
          <cell r="B724">
            <v>315.31</v>
          </cell>
        </row>
        <row r="725">
          <cell r="A725">
            <v>44684</v>
          </cell>
          <cell r="B725">
            <v>304.95999999999998</v>
          </cell>
        </row>
        <row r="726">
          <cell r="A726">
            <v>44683</v>
          </cell>
          <cell r="B726">
            <v>306.97000000000003</v>
          </cell>
        </row>
        <row r="727">
          <cell r="A727">
            <v>44680</v>
          </cell>
          <cell r="B727">
            <v>300.39999999999998</v>
          </cell>
        </row>
        <row r="728">
          <cell r="A728">
            <v>44679</v>
          </cell>
          <cell r="B728">
            <v>311.76</v>
          </cell>
        </row>
        <row r="729">
          <cell r="A729">
            <v>44678</v>
          </cell>
          <cell r="B729">
            <v>301.60000000000002</v>
          </cell>
        </row>
        <row r="730">
          <cell r="A730">
            <v>44677</v>
          </cell>
          <cell r="B730">
            <v>299.95999999999998</v>
          </cell>
        </row>
        <row r="731">
          <cell r="A731">
            <v>44676</v>
          </cell>
          <cell r="B731">
            <v>304.94</v>
          </cell>
        </row>
        <row r="732">
          <cell r="A732">
            <v>44673</v>
          </cell>
          <cell r="B732">
            <v>300.11</v>
          </cell>
        </row>
        <row r="733">
          <cell r="A733">
            <v>44672</v>
          </cell>
          <cell r="B733">
            <v>310.36</v>
          </cell>
        </row>
        <row r="734">
          <cell r="A734">
            <v>44671</v>
          </cell>
          <cell r="B734">
            <v>315.14</v>
          </cell>
        </row>
        <row r="735">
          <cell r="A735">
            <v>44670</v>
          </cell>
          <cell r="B735">
            <v>307.8</v>
          </cell>
        </row>
        <row r="736">
          <cell r="A736">
            <v>44669</v>
          </cell>
          <cell r="B736">
            <v>300.20999999999998</v>
          </cell>
        </row>
        <row r="737">
          <cell r="A737">
            <v>44665</v>
          </cell>
          <cell r="B737">
            <v>304.52</v>
          </cell>
        </row>
        <row r="738">
          <cell r="A738">
            <v>44664</v>
          </cell>
          <cell r="B738">
            <v>310.42</v>
          </cell>
        </row>
        <row r="739">
          <cell r="A739">
            <v>44663</v>
          </cell>
          <cell r="B739">
            <v>306.29000000000002</v>
          </cell>
        </row>
        <row r="740">
          <cell r="A740">
            <v>44662</v>
          </cell>
          <cell r="B740">
            <v>306.72000000000003</v>
          </cell>
        </row>
        <row r="741">
          <cell r="A741">
            <v>44659</v>
          </cell>
          <cell r="B741">
            <v>311.11</v>
          </cell>
        </row>
        <row r="742">
          <cell r="A742">
            <v>44658</v>
          </cell>
          <cell r="B742">
            <v>302.75</v>
          </cell>
        </row>
        <row r="743">
          <cell r="A743">
            <v>44657</v>
          </cell>
          <cell r="B743">
            <v>298.54000000000002</v>
          </cell>
        </row>
        <row r="744">
          <cell r="A744">
            <v>44656</v>
          </cell>
          <cell r="B744">
            <v>304.86</v>
          </cell>
        </row>
        <row r="745">
          <cell r="A745">
            <v>44655</v>
          </cell>
          <cell r="B745">
            <v>305.58</v>
          </cell>
        </row>
        <row r="746">
          <cell r="A746">
            <v>44652</v>
          </cell>
          <cell r="B746">
            <v>301.89</v>
          </cell>
        </row>
        <row r="747">
          <cell r="A747">
            <v>44651</v>
          </cell>
          <cell r="B747">
            <v>299.33</v>
          </cell>
        </row>
        <row r="748">
          <cell r="A748">
            <v>44650</v>
          </cell>
          <cell r="B748">
            <v>308.45999999999998</v>
          </cell>
        </row>
        <row r="749">
          <cell r="A749">
            <v>44649</v>
          </cell>
          <cell r="B749">
            <v>317.70999999999998</v>
          </cell>
        </row>
        <row r="750">
          <cell r="A750">
            <v>44648</v>
          </cell>
          <cell r="B750">
            <v>314.27999999999997</v>
          </cell>
        </row>
        <row r="751">
          <cell r="A751">
            <v>44645</v>
          </cell>
          <cell r="B751">
            <v>310.68</v>
          </cell>
        </row>
        <row r="752">
          <cell r="A752">
            <v>44644</v>
          </cell>
          <cell r="B752">
            <v>315.77999999999997</v>
          </cell>
        </row>
        <row r="753">
          <cell r="A753">
            <v>44643</v>
          </cell>
          <cell r="B753">
            <v>317.05</v>
          </cell>
        </row>
        <row r="754">
          <cell r="A754">
            <v>44642</v>
          </cell>
          <cell r="B754">
            <v>329.73</v>
          </cell>
        </row>
        <row r="755">
          <cell r="A755">
            <v>44641</v>
          </cell>
          <cell r="B755">
            <v>329.37</v>
          </cell>
        </row>
        <row r="756">
          <cell r="A756">
            <v>44638</v>
          </cell>
          <cell r="B756">
            <v>340.74</v>
          </cell>
        </row>
        <row r="757">
          <cell r="A757">
            <v>44637</v>
          </cell>
          <cell r="B757">
            <v>336.36</v>
          </cell>
        </row>
        <row r="758">
          <cell r="A758">
            <v>44636</v>
          </cell>
          <cell r="B758">
            <v>330.91</v>
          </cell>
        </row>
        <row r="759">
          <cell r="A759">
            <v>44635</v>
          </cell>
          <cell r="B759">
            <v>328.54</v>
          </cell>
        </row>
        <row r="760">
          <cell r="A760">
            <v>44634</v>
          </cell>
          <cell r="B760">
            <v>318.36</v>
          </cell>
        </row>
        <row r="761">
          <cell r="A761">
            <v>44631</v>
          </cell>
          <cell r="B761">
            <v>316.79000000000002</v>
          </cell>
        </row>
        <row r="762">
          <cell r="A762">
            <v>44630</v>
          </cell>
          <cell r="B762">
            <v>317.94</v>
          </cell>
        </row>
        <row r="763">
          <cell r="A763">
            <v>44629</v>
          </cell>
          <cell r="B763">
            <v>317.2</v>
          </cell>
        </row>
        <row r="764">
          <cell r="A764">
            <v>44628</v>
          </cell>
          <cell r="B764">
            <v>316.74</v>
          </cell>
        </row>
        <row r="765">
          <cell r="A765">
            <v>44627</v>
          </cell>
          <cell r="B765">
            <v>322.77</v>
          </cell>
        </row>
        <row r="766">
          <cell r="A766">
            <v>44624</v>
          </cell>
          <cell r="B766">
            <v>324.26</v>
          </cell>
        </row>
        <row r="767">
          <cell r="A767">
            <v>44623</v>
          </cell>
          <cell r="B767">
            <v>324.36</v>
          </cell>
        </row>
        <row r="768">
          <cell r="A768">
            <v>44622</v>
          </cell>
          <cell r="B768">
            <v>327.37</v>
          </cell>
        </row>
        <row r="769">
          <cell r="A769">
            <v>44621</v>
          </cell>
          <cell r="B769">
            <v>320.25</v>
          </cell>
        </row>
        <row r="770">
          <cell r="A770">
            <v>44620</v>
          </cell>
          <cell r="B770">
            <v>315.83</v>
          </cell>
        </row>
        <row r="771">
          <cell r="A771">
            <v>44617</v>
          </cell>
          <cell r="B771">
            <v>316.64999999999998</v>
          </cell>
        </row>
        <row r="772">
          <cell r="A772">
            <v>44616</v>
          </cell>
          <cell r="B772">
            <v>313.24</v>
          </cell>
        </row>
        <row r="773">
          <cell r="A773">
            <v>44615</v>
          </cell>
          <cell r="B773">
            <v>308.45</v>
          </cell>
        </row>
        <row r="774">
          <cell r="A774">
            <v>44614</v>
          </cell>
          <cell r="B774">
            <v>316.17</v>
          </cell>
        </row>
        <row r="775">
          <cell r="A775">
            <v>44610</v>
          </cell>
          <cell r="B775">
            <v>346.87</v>
          </cell>
        </row>
        <row r="776">
          <cell r="A776">
            <v>44609</v>
          </cell>
          <cell r="B776">
            <v>347.94</v>
          </cell>
        </row>
        <row r="777">
          <cell r="A777">
            <v>44608</v>
          </cell>
          <cell r="B777">
            <v>350.09</v>
          </cell>
        </row>
        <row r="778">
          <cell r="A778">
            <v>44607</v>
          </cell>
          <cell r="B778">
            <v>353.26</v>
          </cell>
        </row>
        <row r="779">
          <cell r="A779">
            <v>44606</v>
          </cell>
          <cell r="B779">
            <v>351.56</v>
          </cell>
        </row>
        <row r="780">
          <cell r="A780">
            <v>44603</v>
          </cell>
          <cell r="B780">
            <v>350.29</v>
          </cell>
        </row>
        <row r="781">
          <cell r="A781">
            <v>44602</v>
          </cell>
          <cell r="B781">
            <v>355.09</v>
          </cell>
        </row>
        <row r="782">
          <cell r="A782">
            <v>44601</v>
          </cell>
          <cell r="B782">
            <v>364.37</v>
          </cell>
        </row>
        <row r="783">
          <cell r="A783">
            <v>44600</v>
          </cell>
          <cell r="B783">
            <v>361.44</v>
          </cell>
        </row>
        <row r="784">
          <cell r="A784">
            <v>44599</v>
          </cell>
          <cell r="B784">
            <v>357.35</v>
          </cell>
        </row>
        <row r="785">
          <cell r="A785">
            <v>44596</v>
          </cell>
          <cell r="B785">
            <v>359.67</v>
          </cell>
        </row>
        <row r="786">
          <cell r="A786">
            <v>44595</v>
          </cell>
          <cell r="B786">
            <v>364.81</v>
          </cell>
        </row>
        <row r="787">
          <cell r="A787">
            <v>44594</v>
          </cell>
          <cell r="B787">
            <v>373.73</v>
          </cell>
        </row>
        <row r="788">
          <cell r="A788">
            <v>44593</v>
          </cell>
          <cell r="B788">
            <v>368.7</v>
          </cell>
        </row>
        <row r="789">
          <cell r="A789">
            <v>44592</v>
          </cell>
          <cell r="B789">
            <v>366.98</v>
          </cell>
        </row>
        <row r="790">
          <cell r="A790">
            <v>44589</v>
          </cell>
          <cell r="B790">
            <v>366.54</v>
          </cell>
        </row>
        <row r="791">
          <cell r="A791">
            <v>44588</v>
          </cell>
          <cell r="B791">
            <v>356.43</v>
          </cell>
        </row>
        <row r="792">
          <cell r="A792">
            <v>44587</v>
          </cell>
          <cell r="B792">
            <v>357.28</v>
          </cell>
        </row>
        <row r="793">
          <cell r="A793">
            <v>44586</v>
          </cell>
          <cell r="B793">
            <v>358.98</v>
          </cell>
        </row>
        <row r="794">
          <cell r="A794">
            <v>44585</v>
          </cell>
          <cell r="B794">
            <v>363.81</v>
          </cell>
        </row>
        <row r="795">
          <cell r="A795">
            <v>44582</v>
          </cell>
          <cell r="B795">
            <v>349.1</v>
          </cell>
        </row>
        <row r="796">
          <cell r="A796">
            <v>44581</v>
          </cell>
          <cell r="B796">
            <v>349.58</v>
          </cell>
        </row>
        <row r="797">
          <cell r="A797">
            <v>44580</v>
          </cell>
          <cell r="B797">
            <v>359.69</v>
          </cell>
        </row>
        <row r="798">
          <cell r="A798">
            <v>44579</v>
          </cell>
          <cell r="B798">
            <v>366.72</v>
          </cell>
        </row>
        <row r="799">
          <cell r="A799">
            <v>44575</v>
          </cell>
          <cell r="B799">
            <v>372</v>
          </cell>
        </row>
        <row r="800">
          <cell r="A800">
            <v>44574</v>
          </cell>
          <cell r="B800">
            <v>386.98</v>
          </cell>
        </row>
        <row r="801">
          <cell r="A801">
            <v>44573</v>
          </cell>
          <cell r="B801">
            <v>389.4</v>
          </cell>
        </row>
        <row r="802">
          <cell r="A802">
            <v>44572</v>
          </cell>
          <cell r="B802">
            <v>386.67</v>
          </cell>
        </row>
        <row r="803">
          <cell r="A803">
            <v>44571</v>
          </cell>
          <cell r="B803">
            <v>387.46</v>
          </cell>
        </row>
        <row r="804">
          <cell r="A804">
            <v>44568</v>
          </cell>
          <cell r="B804">
            <v>393.61</v>
          </cell>
        </row>
        <row r="805">
          <cell r="A805">
            <v>44567</v>
          </cell>
          <cell r="B805">
            <v>405.76</v>
          </cell>
        </row>
        <row r="806">
          <cell r="A806">
            <v>44566</v>
          </cell>
          <cell r="B806">
            <v>407.24</v>
          </cell>
        </row>
        <row r="807">
          <cell r="A807">
            <v>44565</v>
          </cell>
          <cell r="B807">
            <v>412.84</v>
          </cell>
        </row>
        <row r="808">
          <cell r="A808">
            <v>44564</v>
          </cell>
          <cell r="B808">
            <v>408.64</v>
          </cell>
        </row>
        <row r="809">
          <cell r="A809">
            <v>44561</v>
          </cell>
          <cell r="B809">
            <v>415.01</v>
          </cell>
        </row>
        <row r="810">
          <cell r="A810">
            <v>44560</v>
          </cell>
          <cell r="B810">
            <v>409.94</v>
          </cell>
        </row>
        <row r="811">
          <cell r="A811">
            <v>44559</v>
          </cell>
          <cell r="B811">
            <v>410.84</v>
          </cell>
        </row>
        <row r="812">
          <cell r="A812">
            <v>44558</v>
          </cell>
          <cell r="B812">
            <v>406.22</v>
          </cell>
        </row>
        <row r="813">
          <cell r="A813">
            <v>44557</v>
          </cell>
          <cell r="B813">
            <v>404.09</v>
          </cell>
        </row>
        <row r="814">
          <cell r="A814">
            <v>44553</v>
          </cell>
          <cell r="B814">
            <v>397.07</v>
          </cell>
        </row>
        <row r="815">
          <cell r="A815">
            <v>44552</v>
          </cell>
          <cell r="B815">
            <v>395.64</v>
          </cell>
        </row>
        <row r="816">
          <cell r="A816">
            <v>44551</v>
          </cell>
          <cell r="B816">
            <v>390.47</v>
          </cell>
        </row>
        <row r="817">
          <cell r="A817">
            <v>44550</v>
          </cell>
          <cell r="B817">
            <v>389.4</v>
          </cell>
        </row>
        <row r="818">
          <cell r="A818">
            <v>44547</v>
          </cell>
          <cell r="B818">
            <v>387.98</v>
          </cell>
        </row>
        <row r="819">
          <cell r="A819">
            <v>44546</v>
          </cell>
          <cell r="B819">
            <v>399.53</v>
          </cell>
        </row>
        <row r="820">
          <cell r="A820">
            <v>44545</v>
          </cell>
          <cell r="B820">
            <v>407.81</v>
          </cell>
        </row>
        <row r="821">
          <cell r="A821">
            <v>44544</v>
          </cell>
          <cell r="B821">
            <v>402.2</v>
          </cell>
        </row>
        <row r="822">
          <cell r="A822">
            <v>44543</v>
          </cell>
          <cell r="B822">
            <v>405.24</v>
          </cell>
        </row>
        <row r="823">
          <cell r="A823">
            <v>44540</v>
          </cell>
          <cell r="B823">
            <v>415.4</v>
          </cell>
        </row>
        <row r="824">
          <cell r="A824">
            <v>44539</v>
          </cell>
          <cell r="B824">
            <v>411.34</v>
          </cell>
        </row>
        <row r="825">
          <cell r="A825">
            <v>44538</v>
          </cell>
          <cell r="B825">
            <v>411.25</v>
          </cell>
        </row>
        <row r="826">
          <cell r="A826">
            <v>44537</v>
          </cell>
          <cell r="B826">
            <v>416.18</v>
          </cell>
        </row>
        <row r="827">
          <cell r="A827">
            <v>44536</v>
          </cell>
          <cell r="B827">
            <v>415.7</v>
          </cell>
        </row>
        <row r="828">
          <cell r="A828">
            <v>44533</v>
          </cell>
          <cell r="B828">
            <v>407.81</v>
          </cell>
        </row>
        <row r="829">
          <cell r="A829">
            <v>44532</v>
          </cell>
          <cell r="B829">
            <v>407.77</v>
          </cell>
        </row>
        <row r="830">
          <cell r="A830">
            <v>44531</v>
          </cell>
          <cell r="B830">
            <v>400.42</v>
          </cell>
        </row>
        <row r="831">
          <cell r="A831">
            <v>44530</v>
          </cell>
          <cell r="B831">
            <v>400.61</v>
          </cell>
        </row>
        <row r="832">
          <cell r="A832">
            <v>44529</v>
          </cell>
          <cell r="B832">
            <v>406.82</v>
          </cell>
        </row>
        <row r="833">
          <cell r="A833">
            <v>44526</v>
          </cell>
          <cell r="B833">
            <v>402.7</v>
          </cell>
        </row>
        <row r="834">
          <cell r="A834">
            <v>44524</v>
          </cell>
          <cell r="B834">
            <v>412.11</v>
          </cell>
        </row>
        <row r="835">
          <cell r="A835">
            <v>44523</v>
          </cell>
          <cell r="B835">
            <v>408.37</v>
          </cell>
        </row>
        <row r="836">
          <cell r="A836">
            <v>44522</v>
          </cell>
          <cell r="B836">
            <v>408.79</v>
          </cell>
        </row>
        <row r="837">
          <cell r="A837">
            <v>44519</v>
          </cell>
          <cell r="B837">
            <v>408.69</v>
          </cell>
        </row>
        <row r="838">
          <cell r="A838">
            <v>44518</v>
          </cell>
          <cell r="B838">
            <v>405.85</v>
          </cell>
        </row>
        <row r="839">
          <cell r="A839">
            <v>44517</v>
          </cell>
          <cell r="B839">
            <v>394.85</v>
          </cell>
        </row>
        <row r="840">
          <cell r="A840">
            <v>44516</v>
          </cell>
          <cell r="B840">
            <v>392.33</v>
          </cell>
        </row>
        <row r="841">
          <cell r="A841">
            <v>44515</v>
          </cell>
          <cell r="B841">
            <v>371.08</v>
          </cell>
        </row>
        <row r="842">
          <cell r="A842">
            <v>44512</v>
          </cell>
          <cell r="B842">
            <v>372.63</v>
          </cell>
        </row>
        <row r="843">
          <cell r="A843">
            <v>44511</v>
          </cell>
          <cell r="B843">
            <v>367.63</v>
          </cell>
        </row>
        <row r="844">
          <cell r="A844">
            <v>44510</v>
          </cell>
          <cell r="B844">
            <v>368.58</v>
          </cell>
        </row>
        <row r="845">
          <cell r="A845">
            <v>44509</v>
          </cell>
          <cell r="B845">
            <v>370.65</v>
          </cell>
        </row>
        <row r="846">
          <cell r="A846">
            <v>44508</v>
          </cell>
          <cell r="B846">
            <v>368.59</v>
          </cell>
        </row>
        <row r="847">
          <cell r="A847">
            <v>44505</v>
          </cell>
          <cell r="B847">
            <v>368.4</v>
          </cell>
        </row>
        <row r="848">
          <cell r="A848">
            <v>44504</v>
          </cell>
          <cell r="B848">
            <v>372.18</v>
          </cell>
        </row>
        <row r="849">
          <cell r="A849">
            <v>44503</v>
          </cell>
          <cell r="B849">
            <v>368.97</v>
          </cell>
        </row>
        <row r="850">
          <cell r="A850">
            <v>44502</v>
          </cell>
          <cell r="B850">
            <v>367.29</v>
          </cell>
        </row>
        <row r="851">
          <cell r="A851">
            <v>44501</v>
          </cell>
          <cell r="B851">
            <v>366.48</v>
          </cell>
        </row>
        <row r="852">
          <cell r="A852">
            <v>44498</v>
          </cell>
          <cell r="B852">
            <v>371.74</v>
          </cell>
        </row>
        <row r="853">
          <cell r="A853">
            <v>44497</v>
          </cell>
          <cell r="B853">
            <v>371.57</v>
          </cell>
        </row>
        <row r="854">
          <cell r="A854">
            <v>44496</v>
          </cell>
          <cell r="B854">
            <v>372.32</v>
          </cell>
        </row>
        <row r="855">
          <cell r="A855">
            <v>44495</v>
          </cell>
          <cell r="B855">
            <v>369.2</v>
          </cell>
        </row>
        <row r="856">
          <cell r="A856">
            <v>44494</v>
          </cell>
          <cell r="B856">
            <v>371.26</v>
          </cell>
        </row>
        <row r="857">
          <cell r="A857">
            <v>44491</v>
          </cell>
          <cell r="B857">
            <v>365.99</v>
          </cell>
        </row>
        <row r="858">
          <cell r="A858">
            <v>44490</v>
          </cell>
          <cell r="B858">
            <v>364.62</v>
          </cell>
        </row>
        <row r="859">
          <cell r="A859">
            <v>44489</v>
          </cell>
          <cell r="B859">
            <v>358.23</v>
          </cell>
        </row>
        <row r="860">
          <cell r="A860">
            <v>44488</v>
          </cell>
          <cell r="B860">
            <v>357.99</v>
          </cell>
        </row>
        <row r="861">
          <cell r="A861">
            <v>44487</v>
          </cell>
          <cell r="B861">
            <v>355.01</v>
          </cell>
        </row>
        <row r="862">
          <cell r="A862">
            <v>44484</v>
          </cell>
          <cell r="B862">
            <v>350.41</v>
          </cell>
        </row>
        <row r="863">
          <cell r="A863">
            <v>44483</v>
          </cell>
          <cell r="B863">
            <v>344.05</v>
          </cell>
        </row>
        <row r="864">
          <cell r="A864">
            <v>44482</v>
          </cell>
          <cell r="B864">
            <v>338.28</v>
          </cell>
        </row>
        <row r="865">
          <cell r="A865">
            <v>44481</v>
          </cell>
          <cell r="B865">
            <v>337.8</v>
          </cell>
        </row>
        <row r="866">
          <cell r="A866">
            <v>44480</v>
          </cell>
          <cell r="B866">
            <v>336.97</v>
          </cell>
        </row>
        <row r="867">
          <cell r="A867">
            <v>44477</v>
          </cell>
          <cell r="B867">
            <v>334.34</v>
          </cell>
        </row>
        <row r="868">
          <cell r="A868">
            <v>44476</v>
          </cell>
          <cell r="B868">
            <v>337.48</v>
          </cell>
        </row>
        <row r="869">
          <cell r="A869">
            <v>44475</v>
          </cell>
          <cell r="B869">
            <v>330.36</v>
          </cell>
        </row>
        <row r="870">
          <cell r="A870">
            <v>44474</v>
          </cell>
          <cell r="B870">
            <v>329.48</v>
          </cell>
        </row>
        <row r="871">
          <cell r="A871">
            <v>44473</v>
          </cell>
          <cell r="B871">
            <v>326.47000000000003</v>
          </cell>
        </row>
        <row r="872">
          <cell r="A872">
            <v>44470</v>
          </cell>
          <cell r="B872">
            <v>329.86</v>
          </cell>
        </row>
        <row r="873">
          <cell r="A873">
            <v>44469</v>
          </cell>
          <cell r="B873">
            <v>328.26</v>
          </cell>
        </row>
        <row r="874">
          <cell r="A874">
            <v>44468</v>
          </cell>
          <cell r="B874">
            <v>336.93</v>
          </cell>
        </row>
        <row r="875">
          <cell r="A875">
            <v>44467</v>
          </cell>
          <cell r="B875">
            <v>333.8</v>
          </cell>
        </row>
        <row r="876">
          <cell r="A876">
            <v>44466</v>
          </cell>
          <cell r="B876">
            <v>341.41</v>
          </cell>
        </row>
        <row r="877">
          <cell r="A877">
            <v>44463</v>
          </cell>
          <cell r="B877">
            <v>337.49</v>
          </cell>
        </row>
        <row r="878">
          <cell r="A878">
            <v>44462</v>
          </cell>
          <cell r="B878">
            <v>335.91</v>
          </cell>
        </row>
        <row r="879">
          <cell r="A879">
            <v>44461</v>
          </cell>
          <cell r="B879">
            <v>335.93</v>
          </cell>
        </row>
        <row r="880">
          <cell r="A880">
            <v>44460</v>
          </cell>
          <cell r="B880">
            <v>334.22</v>
          </cell>
        </row>
        <row r="881">
          <cell r="A881">
            <v>44459</v>
          </cell>
          <cell r="B881">
            <v>331.21</v>
          </cell>
        </row>
        <row r="882">
          <cell r="A882">
            <v>44456</v>
          </cell>
          <cell r="B882">
            <v>335.67</v>
          </cell>
        </row>
        <row r="883">
          <cell r="A883">
            <v>44455</v>
          </cell>
          <cell r="B883">
            <v>336.39</v>
          </cell>
        </row>
        <row r="884">
          <cell r="A884">
            <v>44454</v>
          </cell>
          <cell r="B884">
            <v>333.37</v>
          </cell>
        </row>
        <row r="885">
          <cell r="A885">
            <v>44453</v>
          </cell>
          <cell r="B885">
            <v>333.12</v>
          </cell>
        </row>
        <row r="886">
          <cell r="A886">
            <v>44452</v>
          </cell>
          <cell r="B886">
            <v>335.45</v>
          </cell>
        </row>
        <row r="887">
          <cell r="A887">
            <v>44449</v>
          </cell>
          <cell r="B887">
            <v>331.95</v>
          </cell>
        </row>
        <row r="888">
          <cell r="A888">
            <v>44448</v>
          </cell>
          <cell r="B888">
            <v>331.77</v>
          </cell>
        </row>
        <row r="889">
          <cell r="A889">
            <v>44447</v>
          </cell>
          <cell r="B889">
            <v>331.58</v>
          </cell>
        </row>
        <row r="890">
          <cell r="A890">
            <v>44446</v>
          </cell>
          <cell r="B890">
            <v>328.95</v>
          </cell>
        </row>
        <row r="891">
          <cell r="A891">
            <v>44442</v>
          </cell>
          <cell r="B891">
            <v>330.34</v>
          </cell>
        </row>
        <row r="892">
          <cell r="A892">
            <v>44441</v>
          </cell>
          <cell r="B892">
            <v>327.74</v>
          </cell>
        </row>
        <row r="893">
          <cell r="A893">
            <v>44440</v>
          </cell>
          <cell r="B893">
            <v>323.64</v>
          </cell>
        </row>
        <row r="894">
          <cell r="A894">
            <v>44439</v>
          </cell>
          <cell r="B894">
            <v>326.18</v>
          </cell>
        </row>
        <row r="895">
          <cell r="A895">
            <v>44438</v>
          </cell>
          <cell r="B895">
            <v>327.10000000000002</v>
          </cell>
        </row>
        <row r="896">
          <cell r="A896">
            <v>44435</v>
          </cell>
          <cell r="B896">
            <v>323.38</v>
          </cell>
        </row>
        <row r="897">
          <cell r="A897">
            <v>44434</v>
          </cell>
          <cell r="B897">
            <v>321.48</v>
          </cell>
        </row>
        <row r="898">
          <cell r="A898">
            <v>44433</v>
          </cell>
          <cell r="B898">
            <v>323.88</v>
          </cell>
        </row>
        <row r="899">
          <cell r="A899">
            <v>44432</v>
          </cell>
          <cell r="B899">
            <v>324.89999999999998</v>
          </cell>
        </row>
        <row r="900">
          <cell r="A900">
            <v>44431</v>
          </cell>
          <cell r="B900">
            <v>327.74</v>
          </cell>
        </row>
        <row r="901">
          <cell r="A901">
            <v>44428</v>
          </cell>
          <cell r="B901">
            <v>329.24</v>
          </cell>
        </row>
        <row r="902">
          <cell r="A902">
            <v>44427</v>
          </cell>
          <cell r="B902">
            <v>322.89999999999998</v>
          </cell>
        </row>
        <row r="903">
          <cell r="A903">
            <v>44426</v>
          </cell>
          <cell r="B903">
            <v>321.55</v>
          </cell>
        </row>
        <row r="904">
          <cell r="A904">
            <v>44425</v>
          </cell>
          <cell r="B904">
            <v>320.75</v>
          </cell>
        </row>
        <row r="905">
          <cell r="A905">
            <v>44424</v>
          </cell>
          <cell r="B905">
            <v>335.05</v>
          </cell>
        </row>
        <row r="906">
          <cell r="A906">
            <v>44421</v>
          </cell>
          <cell r="B906">
            <v>331.32</v>
          </cell>
        </row>
        <row r="907">
          <cell r="A907">
            <v>44420</v>
          </cell>
          <cell r="B907">
            <v>334.02</v>
          </cell>
        </row>
        <row r="908">
          <cell r="A908">
            <v>44419</v>
          </cell>
          <cell r="B908">
            <v>337</v>
          </cell>
        </row>
        <row r="909">
          <cell r="A909">
            <v>44418</v>
          </cell>
          <cell r="B909">
            <v>331.48</v>
          </cell>
        </row>
        <row r="910">
          <cell r="A910">
            <v>44417</v>
          </cell>
          <cell r="B910">
            <v>328.76</v>
          </cell>
        </row>
        <row r="911">
          <cell r="A911">
            <v>44414</v>
          </cell>
          <cell r="B911">
            <v>329.84</v>
          </cell>
        </row>
        <row r="912">
          <cell r="A912">
            <v>44413</v>
          </cell>
          <cell r="B912">
            <v>333.11</v>
          </cell>
        </row>
        <row r="913">
          <cell r="A913">
            <v>44412</v>
          </cell>
          <cell r="B913">
            <v>330.31</v>
          </cell>
        </row>
        <row r="914">
          <cell r="A914">
            <v>44411</v>
          </cell>
          <cell r="B914">
            <v>331.94</v>
          </cell>
        </row>
        <row r="915">
          <cell r="A915">
            <v>44410</v>
          </cell>
          <cell r="B915">
            <v>327.22000000000003</v>
          </cell>
        </row>
        <row r="916">
          <cell r="A916">
            <v>44407</v>
          </cell>
          <cell r="B916">
            <v>328.19</v>
          </cell>
        </row>
        <row r="917">
          <cell r="A917">
            <v>44406</v>
          </cell>
          <cell r="B917">
            <v>327.43</v>
          </cell>
        </row>
        <row r="918">
          <cell r="A918">
            <v>44405</v>
          </cell>
          <cell r="B918">
            <v>325.52</v>
          </cell>
        </row>
        <row r="919">
          <cell r="A919">
            <v>44404</v>
          </cell>
          <cell r="B919">
            <v>327.26</v>
          </cell>
        </row>
        <row r="920">
          <cell r="A920">
            <v>44403</v>
          </cell>
          <cell r="B920">
            <v>331.18</v>
          </cell>
        </row>
        <row r="921">
          <cell r="A921">
            <v>44400</v>
          </cell>
          <cell r="B921">
            <v>332.84</v>
          </cell>
        </row>
        <row r="922">
          <cell r="A922">
            <v>44399</v>
          </cell>
          <cell r="B922">
            <v>326.66000000000003</v>
          </cell>
        </row>
        <row r="923">
          <cell r="A923">
            <v>44398</v>
          </cell>
          <cell r="B923">
            <v>326.36</v>
          </cell>
        </row>
        <row r="924">
          <cell r="A924">
            <v>44397</v>
          </cell>
          <cell r="B924">
            <v>325.35000000000002</v>
          </cell>
        </row>
        <row r="925">
          <cell r="A925">
            <v>44396</v>
          </cell>
          <cell r="B925">
            <v>318.87</v>
          </cell>
        </row>
        <row r="926">
          <cell r="A926">
            <v>44393</v>
          </cell>
          <cell r="B926">
            <v>321.54000000000002</v>
          </cell>
        </row>
        <row r="927">
          <cell r="A927">
            <v>44392</v>
          </cell>
          <cell r="B927">
            <v>322.70999999999998</v>
          </cell>
        </row>
        <row r="928">
          <cell r="A928">
            <v>44391</v>
          </cell>
          <cell r="B928">
            <v>319.22000000000003</v>
          </cell>
        </row>
        <row r="929">
          <cell r="A929">
            <v>44390</v>
          </cell>
          <cell r="B929">
            <v>317.05</v>
          </cell>
        </row>
        <row r="930">
          <cell r="A930">
            <v>44389</v>
          </cell>
          <cell r="B930">
            <v>321.74</v>
          </cell>
        </row>
        <row r="931">
          <cell r="A931">
            <v>44386</v>
          </cell>
          <cell r="B931">
            <v>322.08999999999997</v>
          </cell>
        </row>
        <row r="932">
          <cell r="A932">
            <v>44385</v>
          </cell>
          <cell r="B932">
            <v>318.54000000000002</v>
          </cell>
        </row>
        <row r="933">
          <cell r="A933">
            <v>44384</v>
          </cell>
          <cell r="B933">
            <v>323.48</v>
          </cell>
        </row>
        <row r="934">
          <cell r="A934">
            <v>44383</v>
          </cell>
          <cell r="B934">
            <v>319.26</v>
          </cell>
        </row>
        <row r="935">
          <cell r="A935">
            <v>44379</v>
          </cell>
          <cell r="B935">
            <v>322.7</v>
          </cell>
        </row>
        <row r="936">
          <cell r="A936">
            <v>44378</v>
          </cell>
          <cell r="B936">
            <v>321.54000000000002</v>
          </cell>
        </row>
        <row r="937">
          <cell r="A937">
            <v>44377</v>
          </cell>
          <cell r="B937">
            <v>318.89</v>
          </cell>
        </row>
        <row r="938">
          <cell r="A938">
            <v>44376</v>
          </cell>
          <cell r="B938">
            <v>318.24</v>
          </cell>
        </row>
        <row r="939">
          <cell r="A939">
            <v>44375</v>
          </cell>
          <cell r="B939">
            <v>314.27999999999997</v>
          </cell>
        </row>
        <row r="940">
          <cell r="A940">
            <v>44372</v>
          </cell>
          <cell r="B940">
            <v>313.63</v>
          </cell>
        </row>
        <row r="941">
          <cell r="A941">
            <v>44371</v>
          </cell>
          <cell r="B941">
            <v>311.83999999999997</v>
          </cell>
        </row>
        <row r="942">
          <cell r="A942">
            <v>44370</v>
          </cell>
          <cell r="B942">
            <v>311.67</v>
          </cell>
        </row>
        <row r="943">
          <cell r="A943">
            <v>44369</v>
          </cell>
          <cell r="B943">
            <v>312.70999999999998</v>
          </cell>
        </row>
        <row r="944">
          <cell r="A944">
            <v>44368</v>
          </cell>
          <cell r="B944">
            <v>307.60000000000002</v>
          </cell>
        </row>
        <row r="945">
          <cell r="A945">
            <v>44365</v>
          </cell>
          <cell r="B945">
            <v>302.61</v>
          </cell>
        </row>
        <row r="946">
          <cell r="A946">
            <v>44364</v>
          </cell>
          <cell r="B946">
            <v>303.12</v>
          </cell>
        </row>
        <row r="947">
          <cell r="A947">
            <v>44363</v>
          </cell>
          <cell r="B947">
            <v>302.77999999999997</v>
          </cell>
        </row>
        <row r="948">
          <cell r="A948">
            <v>44362</v>
          </cell>
          <cell r="B948">
            <v>306.45</v>
          </cell>
        </row>
        <row r="949">
          <cell r="A949">
            <v>44361</v>
          </cell>
          <cell r="B949">
            <v>309.32</v>
          </cell>
        </row>
        <row r="950">
          <cell r="A950">
            <v>44358</v>
          </cell>
          <cell r="B950">
            <v>310.77</v>
          </cell>
        </row>
        <row r="951">
          <cell r="A951">
            <v>44357</v>
          </cell>
          <cell r="B951">
            <v>308.31</v>
          </cell>
        </row>
        <row r="952">
          <cell r="A952">
            <v>44356</v>
          </cell>
          <cell r="B952">
            <v>307.33999999999997</v>
          </cell>
        </row>
        <row r="953">
          <cell r="A953">
            <v>44355</v>
          </cell>
          <cell r="B953">
            <v>310.89999999999998</v>
          </cell>
        </row>
        <row r="954">
          <cell r="A954">
            <v>44354</v>
          </cell>
          <cell r="B954">
            <v>309.95999999999998</v>
          </cell>
        </row>
        <row r="955">
          <cell r="A955">
            <v>44351</v>
          </cell>
          <cell r="B955">
            <v>311.01</v>
          </cell>
        </row>
        <row r="956">
          <cell r="A956">
            <v>44350</v>
          </cell>
          <cell r="B956">
            <v>311.43</v>
          </cell>
        </row>
        <row r="957">
          <cell r="A957">
            <v>44349</v>
          </cell>
          <cell r="B957">
            <v>313.23</v>
          </cell>
        </row>
        <row r="958">
          <cell r="A958">
            <v>44348</v>
          </cell>
          <cell r="B958">
            <v>316.31</v>
          </cell>
        </row>
        <row r="959">
          <cell r="A959">
            <v>44344</v>
          </cell>
          <cell r="B959">
            <v>318.91000000000003</v>
          </cell>
        </row>
        <row r="960">
          <cell r="A960">
            <v>44343</v>
          </cell>
          <cell r="B960">
            <v>318.77</v>
          </cell>
        </row>
        <row r="961">
          <cell r="A961">
            <v>44342</v>
          </cell>
          <cell r="B961">
            <v>317.33</v>
          </cell>
        </row>
        <row r="962">
          <cell r="A962">
            <v>44341</v>
          </cell>
          <cell r="B962">
            <v>316.75</v>
          </cell>
        </row>
        <row r="963">
          <cell r="A963">
            <v>44340</v>
          </cell>
          <cell r="B963">
            <v>314.83999999999997</v>
          </cell>
        </row>
        <row r="964">
          <cell r="A964">
            <v>44337</v>
          </cell>
          <cell r="B964">
            <v>315.77</v>
          </cell>
        </row>
        <row r="965">
          <cell r="A965">
            <v>44336</v>
          </cell>
          <cell r="B965">
            <v>315.89999999999998</v>
          </cell>
        </row>
        <row r="966">
          <cell r="A966">
            <v>44335</v>
          </cell>
          <cell r="B966">
            <v>314.45</v>
          </cell>
        </row>
        <row r="967">
          <cell r="A967">
            <v>44334</v>
          </cell>
          <cell r="B967">
            <v>316.75</v>
          </cell>
        </row>
        <row r="968">
          <cell r="A968">
            <v>44333</v>
          </cell>
          <cell r="B968">
            <v>320.01</v>
          </cell>
        </row>
        <row r="969">
          <cell r="A969">
            <v>44330</v>
          </cell>
          <cell r="B969">
            <v>323.63</v>
          </cell>
        </row>
        <row r="970">
          <cell r="A970">
            <v>44329</v>
          </cell>
          <cell r="B970">
            <v>325.42</v>
          </cell>
        </row>
        <row r="971">
          <cell r="A971">
            <v>44328</v>
          </cell>
          <cell r="B971">
            <v>317</v>
          </cell>
        </row>
        <row r="972">
          <cell r="A972">
            <v>44327</v>
          </cell>
          <cell r="B972">
            <v>330.66</v>
          </cell>
        </row>
        <row r="973">
          <cell r="A973">
            <v>44326</v>
          </cell>
          <cell r="B973">
            <v>341.12</v>
          </cell>
        </row>
        <row r="974">
          <cell r="A974">
            <v>44323</v>
          </cell>
          <cell r="B974">
            <v>339.25</v>
          </cell>
        </row>
        <row r="975">
          <cell r="A975">
            <v>44322</v>
          </cell>
          <cell r="B975">
            <v>337.58</v>
          </cell>
        </row>
        <row r="976">
          <cell r="A976">
            <v>44321</v>
          </cell>
          <cell r="B976">
            <v>332.05</v>
          </cell>
        </row>
        <row r="977">
          <cell r="A977">
            <v>44320</v>
          </cell>
          <cell r="B977">
            <v>332.77</v>
          </cell>
        </row>
        <row r="978">
          <cell r="A978">
            <v>44319</v>
          </cell>
          <cell r="B978">
            <v>330.27</v>
          </cell>
        </row>
        <row r="979">
          <cell r="A979">
            <v>44316</v>
          </cell>
          <cell r="B979">
            <v>323.67</v>
          </cell>
        </row>
        <row r="980">
          <cell r="A980">
            <v>44315</v>
          </cell>
          <cell r="B980">
            <v>325.33999999999997</v>
          </cell>
        </row>
        <row r="981">
          <cell r="A981">
            <v>44314</v>
          </cell>
          <cell r="B981">
            <v>319.70999999999998</v>
          </cell>
        </row>
        <row r="982">
          <cell r="A982">
            <v>44313</v>
          </cell>
          <cell r="B982">
            <v>320.58999999999997</v>
          </cell>
        </row>
        <row r="983">
          <cell r="A983">
            <v>44312</v>
          </cell>
          <cell r="B983">
            <v>319.99</v>
          </cell>
        </row>
        <row r="984">
          <cell r="A984">
            <v>44309</v>
          </cell>
          <cell r="B984">
            <v>323.89</v>
          </cell>
        </row>
        <row r="985">
          <cell r="A985">
            <v>44308</v>
          </cell>
          <cell r="B985">
            <v>321.45999999999998</v>
          </cell>
        </row>
        <row r="986">
          <cell r="A986">
            <v>44307</v>
          </cell>
          <cell r="B986">
            <v>325.95</v>
          </cell>
        </row>
        <row r="987">
          <cell r="A987">
            <v>44306</v>
          </cell>
          <cell r="B987">
            <v>323.95999999999998</v>
          </cell>
        </row>
        <row r="988">
          <cell r="A988">
            <v>44305</v>
          </cell>
          <cell r="B988">
            <v>326.85000000000002</v>
          </cell>
        </row>
        <row r="989">
          <cell r="A989">
            <v>44302</v>
          </cell>
          <cell r="B989">
            <v>328.08</v>
          </cell>
        </row>
        <row r="990">
          <cell r="A990">
            <v>44301</v>
          </cell>
          <cell r="B990">
            <v>322.74</v>
          </cell>
        </row>
        <row r="991">
          <cell r="A991">
            <v>44300</v>
          </cell>
          <cell r="B991">
            <v>320.02</v>
          </cell>
        </row>
        <row r="992">
          <cell r="A992">
            <v>44299</v>
          </cell>
          <cell r="B992">
            <v>320.39999999999998</v>
          </cell>
        </row>
        <row r="993">
          <cell r="A993">
            <v>44298</v>
          </cell>
          <cell r="B993">
            <v>320.79000000000002</v>
          </cell>
        </row>
        <row r="994">
          <cell r="A994">
            <v>44295</v>
          </cell>
          <cell r="B994">
            <v>319.23</v>
          </cell>
        </row>
        <row r="995">
          <cell r="A995">
            <v>44294</v>
          </cell>
          <cell r="B995">
            <v>314.43</v>
          </cell>
        </row>
        <row r="996">
          <cell r="A996">
            <v>44293</v>
          </cell>
          <cell r="B996">
            <v>312.47000000000003</v>
          </cell>
        </row>
        <row r="997">
          <cell r="A997">
            <v>44292</v>
          </cell>
          <cell r="B997">
            <v>313.77999999999997</v>
          </cell>
        </row>
        <row r="998">
          <cell r="A998">
            <v>44291</v>
          </cell>
          <cell r="B998">
            <v>315.39999999999998</v>
          </cell>
        </row>
        <row r="999">
          <cell r="A999">
            <v>44287</v>
          </cell>
          <cell r="B999">
            <v>307.75</v>
          </cell>
        </row>
        <row r="1000">
          <cell r="A1000">
            <v>44286</v>
          </cell>
          <cell r="B1000">
            <v>305.25</v>
          </cell>
        </row>
        <row r="1001">
          <cell r="A1001">
            <v>44285</v>
          </cell>
          <cell r="B1001">
            <v>304.82</v>
          </cell>
        </row>
        <row r="1002">
          <cell r="A1002">
            <v>44284</v>
          </cell>
          <cell r="B1002">
            <v>302.2</v>
          </cell>
        </row>
        <row r="1003">
          <cell r="A1003">
            <v>44281</v>
          </cell>
          <cell r="B1003">
            <v>303.81</v>
          </cell>
        </row>
        <row r="1004">
          <cell r="A1004">
            <v>44280</v>
          </cell>
          <cell r="B1004">
            <v>297.18</v>
          </cell>
        </row>
        <row r="1005">
          <cell r="A1005">
            <v>44279</v>
          </cell>
          <cell r="B1005">
            <v>292.75</v>
          </cell>
        </row>
        <row r="1006">
          <cell r="A1006">
            <v>44278</v>
          </cell>
          <cell r="B1006">
            <v>289.98</v>
          </cell>
        </row>
        <row r="1007">
          <cell r="A1007">
            <v>44277</v>
          </cell>
          <cell r="B1007">
            <v>288.94</v>
          </cell>
        </row>
        <row r="1008">
          <cell r="A1008">
            <v>44274</v>
          </cell>
          <cell r="B1008">
            <v>289.10000000000002</v>
          </cell>
        </row>
        <row r="1009">
          <cell r="A1009">
            <v>44273</v>
          </cell>
          <cell r="B1009">
            <v>283.16000000000003</v>
          </cell>
        </row>
        <row r="1010">
          <cell r="A1010">
            <v>44272</v>
          </cell>
          <cell r="B1010">
            <v>280.02999999999997</v>
          </cell>
        </row>
        <row r="1011">
          <cell r="A1011">
            <v>44271</v>
          </cell>
          <cell r="B1011">
            <v>282.08</v>
          </cell>
        </row>
        <row r="1012">
          <cell r="A1012">
            <v>44270</v>
          </cell>
          <cell r="B1012">
            <v>278.54000000000002</v>
          </cell>
        </row>
        <row r="1013">
          <cell r="A1013">
            <v>44267</v>
          </cell>
          <cell r="B1013">
            <v>273.10000000000002</v>
          </cell>
        </row>
        <row r="1014">
          <cell r="A1014">
            <v>44266</v>
          </cell>
          <cell r="B1014">
            <v>268.85000000000002</v>
          </cell>
        </row>
        <row r="1015">
          <cell r="A1015">
            <v>44265</v>
          </cell>
          <cell r="B1015">
            <v>266.24</v>
          </cell>
        </row>
        <row r="1016">
          <cell r="A1016">
            <v>44264</v>
          </cell>
          <cell r="B1016">
            <v>264.95999999999998</v>
          </cell>
        </row>
        <row r="1017">
          <cell r="A1017">
            <v>44263</v>
          </cell>
          <cell r="B1017">
            <v>259.02999999999997</v>
          </cell>
        </row>
        <row r="1018">
          <cell r="A1018">
            <v>44260</v>
          </cell>
          <cell r="B1018">
            <v>253.52</v>
          </cell>
        </row>
        <row r="1019">
          <cell r="A1019">
            <v>44259</v>
          </cell>
          <cell r="B1019">
            <v>250.93</v>
          </cell>
        </row>
        <row r="1020">
          <cell r="A1020">
            <v>44258</v>
          </cell>
          <cell r="B1020">
            <v>257.36</v>
          </cell>
        </row>
        <row r="1021">
          <cell r="A1021">
            <v>44257</v>
          </cell>
          <cell r="B1021">
            <v>260.29000000000002</v>
          </cell>
        </row>
        <row r="1022">
          <cell r="A1022">
            <v>44256</v>
          </cell>
          <cell r="B1022">
            <v>261.62</v>
          </cell>
        </row>
        <row r="1023">
          <cell r="A1023">
            <v>44253</v>
          </cell>
          <cell r="B1023">
            <v>258.33999999999997</v>
          </cell>
        </row>
        <row r="1024">
          <cell r="A1024">
            <v>44252</v>
          </cell>
          <cell r="B1024">
            <v>255.25</v>
          </cell>
        </row>
        <row r="1025">
          <cell r="A1025">
            <v>44251</v>
          </cell>
          <cell r="B1025">
            <v>259.97000000000003</v>
          </cell>
        </row>
        <row r="1026">
          <cell r="A1026">
            <v>44250</v>
          </cell>
          <cell r="B1026">
            <v>267.24</v>
          </cell>
        </row>
        <row r="1027">
          <cell r="A1027">
            <v>44249</v>
          </cell>
          <cell r="B1027">
            <v>275.85000000000002</v>
          </cell>
        </row>
        <row r="1028">
          <cell r="A1028">
            <v>44246</v>
          </cell>
          <cell r="B1028">
            <v>279.64</v>
          </cell>
        </row>
        <row r="1029">
          <cell r="A1029">
            <v>44245</v>
          </cell>
          <cell r="B1029">
            <v>283.05</v>
          </cell>
        </row>
        <row r="1030">
          <cell r="A1030">
            <v>44244</v>
          </cell>
          <cell r="B1030">
            <v>280.92</v>
          </cell>
        </row>
        <row r="1031">
          <cell r="A1031">
            <v>44243</v>
          </cell>
          <cell r="B1031">
            <v>275.39</v>
          </cell>
        </row>
        <row r="1032">
          <cell r="A1032">
            <v>44239</v>
          </cell>
          <cell r="B1032">
            <v>277.51</v>
          </cell>
        </row>
        <row r="1033">
          <cell r="A1033">
            <v>44238</v>
          </cell>
          <cell r="B1033">
            <v>277.06</v>
          </cell>
        </row>
        <row r="1034">
          <cell r="A1034">
            <v>44237</v>
          </cell>
          <cell r="B1034">
            <v>278.69</v>
          </cell>
        </row>
        <row r="1035">
          <cell r="A1035">
            <v>44236</v>
          </cell>
          <cell r="B1035">
            <v>276.77</v>
          </cell>
        </row>
        <row r="1036">
          <cell r="A1036">
            <v>44235</v>
          </cell>
          <cell r="B1036">
            <v>280.02999999999997</v>
          </cell>
        </row>
        <row r="1037">
          <cell r="A1037">
            <v>44232</v>
          </cell>
          <cell r="B1037">
            <v>278.86</v>
          </cell>
        </row>
        <row r="1038">
          <cell r="A1038">
            <v>44231</v>
          </cell>
          <cell r="B1038">
            <v>278.82</v>
          </cell>
        </row>
        <row r="1039">
          <cell r="A1039">
            <v>44230</v>
          </cell>
          <cell r="B1039">
            <v>274.17</v>
          </cell>
        </row>
        <row r="1040">
          <cell r="A1040">
            <v>44229</v>
          </cell>
          <cell r="B1040">
            <v>272.16000000000003</v>
          </cell>
        </row>
        <row r="1041">
          <cell r="A1041">
            <v>44228</v>
          </cell>
          <cell r="B1041">
            <v>270.07</v>
          </cell>
        </row>
        <row r="1042">
          <cell r="A1042">
            <v>44225</v>
          </cell>
          <cell r="B1042">
            <v>270.82</v>
          </cell>
        </row>
        <row r="1043">
          <cell r="A1043">
            <v>44224</v>
          </cell>
          <cell r="B1043">
            <v>278.05</v>
          </cell>
        </row>
        <row r="1044">
          <cell r="A1044">
            <v>44223</v>
          </cell>
          <cell r="B1044">
            <v>274.05</v>
          </cell>
        </row>
        <row r="1045">
          <cell r="A1045">
            <v>44222</v>
          </cell>
          <cell r="B1045">
            <v>282.60000000000002</v>
          </cell>
        </row>
        <row r="1046">
          <cell r="A1046">
            <v>44221</v>
          </cell>
          <cell r="B1046">
            <v>285.08</v>
          </cell>
        </row>
        <row r="1047">
          <cell r="A1047">
            <v>44218</v>
          </cell>
          <cell r="B1047">
            <v>284</v>
          </cell>
        </row>
        <row r="1048">
          <cell r="A1048">
            <v>44217</v>
          </cell>
          <cell r="B1048">
            <v>279.05</v>
          </cell>
        </row>
        <row r="1049">
          <cell r="A1049">
            <v>44216</v>
          </cell>
          <cell r="B1049">
            <v>274.3</v>
          </cell>
        </row>
        <row r="1050">
          <cell r="A1050">
            <v>44215</v>
          </cell>
          <cell r="B1050">
            <v>273.19</v>
          </cell>
        </row>
        <row r="1051">
          <cell r="A1051">
            <v>44211</v>
          </cell>
          <cell r="B1051">
            <v>275.58999999999997</v>
          </cell>
        </row>
        <row r="1052">
          <cell r="A1052">
            <v>44210</v>
          </cell>
          <cell r="B1052">
            <v>268.33999999999997</v>
          </cell>
        </row>
        <row r="1053">
          <cell r="A1053">
            <v>44209</v>
          </cell>
          <cell r="B1053">
            <v>274.05</v>
          </cell>
        </row>
        <row r="1054">
          <cell r="A1054">
            <v>44208</v>
          </cell>
          <cell r="B1054">
            <v>276.33</v>
          </cell>
        </row>
        <row r="1055">
          <cell r="A1055">
            <v>44207</v>
          </cell>
          <cell r="B1055">
            <v>271.23</v>
          </cell>
        </row>
        <row r="1056">
          <cell r="A1056">
            <v>44204</v>
          </cell>
          <cell r="B1056">
            <v>269.08999999999997</v>
          </cell>
        </row>
        <row r="1057">
          <cell r="A1057">
            <v>44203</v>
          </cell>
          <cell r="B1057">
            <v>266.26</v>
          </cell>
        </row>
        <row r="1058">
          <cell r="A1058">
            <v>44202</v>
          </cell>
          <cell r="B1058">
            <v>267.57</v>
          </cell>
        </row>
        <row r="1059">
          <cell r="A1059">
            <v>44201</v>
          </cell>
          <cell r="B1059">
            <v>266.05</v>
          </cell>
        </row>
        <row r="1060">
          <cell r="A1060">
            <v>44200</v>
          </cell>
          <cell r="B1060">
            <v>263.92</v>
          </cell>
        </row>
        <row r="1061">
          <cell r="A1061">
            <v>44196</v>
          </cell>
          <cell r="B1061">
            <v>265.62</v>
          </cell>
        </row>
        <row r="1062">
          <cell r="A1062">
            <v>44195</v>
          </cell>
          <cell r="B1062">
            <v>265.26</v>
          </cell>
        </row>
        <row r="1063">
          <cell r="A1063">
            <v>44194</v>
          </cell>
          <cell r="B1063">
            <v>266.19</v>
          </cell>
        </row>
        <row r="1064">
          <cell r="A1064">
            <v>44193</v>
          </cell>
          <cell r="B1064">
            <v>269.25</v>
          </cell>
        </row>
        <row r="1065">
          <cell r="A1065">
            <v>44189</v>
          </cell>
          <cell r="B1065">
            <v>270.92</v>
          </cell>
        </row>
        <row r="1066">
          <cell r="A1066">
            <v>44188</v>
          </cell>
          <cell r="B1066">
            <v>269.81</v>
          </cell>
        </row>
        <row r="1067">
          <cell r="A1067">
            <v>44187</v>
          </cell>
          <cell r="B1067">
            <v>270.04000000000002</v>
          </cell>
        </row>
        <row r="1068">
          <cell r="A1068">
            <v>44186</v>
          </cell>
          <cell r="B1068">
            <v>270.99</v>
          </cell>
        </row>
        <row r="1069">
          <cell r="A1069">
            <v>44183</v>
          </cell>
          <cell r="B1069">
            <v>270.45</v>
          </cell>
        </row>
        <row r="1070">
          <cell r="A1070">
            <v>44182</v>
          </cell>
          <cell r="B1070">
            <v>273.97000000000003</v>
          </cell>
        </row>
        <row r="1071">
          <cell r="A1071">
            <v>44181</v>
          </cell>
          <cell r="B1071">
            <v>269.58999999999997</v>
          </cell>
        </row>
        <row r="1072">
          <cell r="A1072">
            <v>44180</v>
          </cell>
          <cell r="B1072">
            <v>267.98</v>
          </cell>
        </row>
        <row r="1073">
          <cell r="A1073">
            <v>44179</v>
          </cell>
          <cell r="B1073">
            <v>265.58</v>
          </cell>
        </row>
        <row r="1074">
          <cell r="A1074">
            <v>44176</v>
          </cell>
          <cell r="B1074">
            <v>264.55</v>
          </cell>
        </row>
        <row r="1075">
          <cell r="A1075">
            <v>44175</v>
          </cell>
          <cell r="B1075">
            <v>264.81</v>
          </cell>
        </row>
        <row r="1076">
          <cell r="A1076">
            <v>44174</v>
          </cell>
          <cell r="B1076">
            <v>265.58</v>
          </cell>
        </row>
        <row r="1077">
          <cell r="A1077">
            <v>44173</v>
          </cell>
          <cell r="B1077">
            <v>261.72000000000003</v>
          </cell>
        </row>
        <row r="1078">
          <cell r="A1078">
            <v>44172</v>
          </cell>
          <cell r="B1078">
            <v>262.64</v>
          </cell>
        </row>
        <row r="1079">
          <cell r="A1079">
            <v>44169</v>
          </cell>
          <cell r="B1079">
            <v>263.99</v>
          </cell>
        </row>
        <row r="1080">
          <cell r="A1080">
            <v>44168</v>
          </cell>
          <cell r="B1080">
            <v>268.14</v>
          </cell>
        </row>
        <row r="1081">
          <cell r="A1081">
            <v>44167</v>
          </cell>
          <cell r="B1081">
            <v>271.10000000000002</v>
          </cell>
        </row>
        <row r="1082">
          <cell r="A1082">
            <v>44166</v>
          </cell>
          <cell r="B1082">
            <v>276.60000000000002</v>
          </cell>
        </row>
        <row r="1083">
          <cell r="A1083">
            <v>44165</v>
          </cell>
          <cell r="B1083">
            <v>277.41000000000003</v>
          </cell>
        </row>
        <row r="1084">
          <cell r="A1084">
            <v>44162</v>
          </cell>
          <cell r="B1084">
            <v>275.99</v>
          </cell>
        </row>
        <row r="1085">
          <cell r="A1085">
            <v>44160</v>
          </cell>
          <cell r="B1085">
            <v>273.95999999999998</v>
          </cell>
        </row>
        <row r="1086">
          <cell r="A1086">
            <v>44159</v>
          </cell>
          <cell r="B1086">
            <v>273.31</v>
          </cell>
        </row>
        <row r="1087">
          <cell r="A1087">
            <v>44158</v>
          </cell>
          <cell r="B1087">
            <v>271.39999999999998</v>
          </cell>
        </row>
        <row r="1088">
          <cell r="A1088">
            <v>44155</v>
          </cell>
          <cell r="B1088">
            <v>269.81</v>
          </cell>
        </row>
        <row r="1089">
          <cell r="A1089">
            <v>44154</v>
          </cell>
          <cell r="B1089">
            <v>270.93</v>
          </cell>
        </row>
        <row r="1090">
          <cell r="A1090">
            <v>44153</v>
          </cell>
          <cell r="B1090">
            <v>269.83</v>
          </cell>
        </row>
        <row r="1091">
          <cell r="A1091">
            <v>44152</v>
          </cell>
          <cell r="B1091">
            <v>272.47000000000003</v>
          </cell>
        </row>
        <row r="1092">
          <cell r="A1092">
            <v>44151</v>
          </cell>
          <cell r="B1092">
            <v>279.57</v>
          </cell>
        </row>
        <row r="1093">
          <cell r="A1093">
            <v>44148</v>
          </cell>
          <cell r="B1093">
            <v>277.17</v>
          </cell>
        </row>
        <row r="1094">
          <cell r="A1094">
            <v>44147</v>
          </cell>
          <cell r="B1094">
            <v>276.24</v>
          </cell>
        </row>
        <row r="1095">
          <cell r="A1095">
            <v>44146</v>
          </cell>
          <cell r="B1095">
            <v>277.75</v>
          </cell>
        </row>
        <row r="1096">
          <cell r="A1096">
            <v>44145</v>
          </cell>
          <cell r="B1096">
            <v>275.57</v>
          </cell>
        </row>
        <row r="1097">
          <cell r="A1097">
            <v>44144</v>
          </cell>
          <cell r="B1097">
            <v>269.97000000000003</v>
          </cell>
        </row>
        <row r="1098">
          <cell r="A1098">
            <v>44141</v>
          </cell>
          <cell r="B1098">
            <v>284.24</v>
          </cell>
        </row>
        <row r="1099">
          <cell r="A1099">
            <v>44140</v>
          </cell>
          <cell r="B1099">
            <v>285.85000000000002</v>
          </cell>
        </row>
        <row r="1100">
          <cell r="A1100">
            <v>44139</v>
          </cell>
          <cell r="B1100">
            <v>282.72000000000003</v>
          </cell>
        </row>
        <row r="1101">
          <cell r="A1101">
            <v>44138</v>
          </cell>
          <cell r="B1101">
            <v>277.37</v>
          </cell>
        </row>
        <row r="1102">
          <cell r="A1102">
            <v>44137</v>
          </cell>
          <cell r="B1102">
            <v>270.74</v>
          </cell>
        </row>
        <row r="1103">
          <cell r="A1103">
            <v>44134</v>
          </cell>
          <cell r="B1103">
            <v>266.70999999999998</v>
          </cell>
        </row>
        <row r="1104">
          <cell r="A1104">
            <v>44133</v>
          </cell>
          <cell r="B1104">
            <v>269.63</v>
          </cell>
        </row>
        <row r="1105">
          <cell r="A1105">
            <v>44132</v>
          </cell>
          <cell r="B1105">
            <v>269.72000000000003</v>
          </cell>
        </row>
        <row r="1106">
          <cell r="A1106">
            <v>44131</v>
          </cell>
          <cell r="B1106">
            <v>276.83999999999997</v>
          </cell>
        </row>
        <row r="1107">
          <cell r="A1107">
            <v>44130</v>
          </cell>
          <cell r="B1107">
            <v>276.04000000000002</v>
          </cell>
        </row>
        <row r="1108">
          <cell r="A1108">
            <v>44127</v>
          </cell>
          <cell r="B1108">
            <v>283</v>
          </cell>
        </row>
        <row r="1109">
          <cell r="A1109">
            <v>44126</v>
          </cell>
          <cell r="B1109">
            <v>281.16000000000003</v>
          </cell>
        </row>
        <row r="1110">
          <cell r="A1110">
            <v>44125</v>
          </cell>
          <cell r="B1110">
            <v>284.51</v>
          </cell>
        </row>
        <row r="1111">
          <cell r="A1111">
            <v>44124</v>
          </cell>
          <cell r="B1111">
            <v>286.04000000000002</v>
          </cell>
        </row>
        <row r="1112">
          <cell r="A1112">
            <v>44123</v>
          </cell>
          <cell r="B1112">
            <v>283.73</v>
          </cell>
        </row>
        <row r="1113">
          <cell r="A1113">
            <v>44120</v>
          </cell>
          <cell r="B1113">
            <v>287.66000000000003</v>
          </cell>
        </row>
        <row r="1114">
          <cell r="A1114">
            <v>44119</v>
          </cell>
          <cell r="B1114">
            <v>287.54000000000002</v>
          </cell>
        </row>
        <row r="1115">
          <cell r="A1115">
            <v>44118</v>
          </cell>
          <cell r="B1115">
            <v>287.08999999999997</v>
          </cell>
        </row>
        <row r="1116">
          <cell r="A1116">
            <v>44117</v>
          </cell>
          <cell r="B1116">
            <v>290.36</v>
          </cell>
        </row>
        <row r="1117">
          <cell r="A1117">
            <v>44116</v>
          </cell>
          <cell r="B1117">
            <v>286.91000000000003</v>
          </cell>
        </row>
        <row r="1118">
          <cell r="A1118">
            <v>44113</v>
          </cell>
          <cell r="B1118">
            <v>285.92</v>
          </cell>
        </row>
        <row r="1119">
          <cell r="A1119">
            <v>44112</v>
          </cell>
          <cell r="B1119">
            <v>284.52</v>
          </cell>
        </row>
        <row r="1120">
          <cell r="A1120">
            <v>44111</v>
          </cell>
          <cell r="B1120">
            <v>282.79000000000002</v>
          </cell>
        </row>
        <row r="1121">
          <cell r="A1121">
            <v>44110</v>
          </cell>
          <cell r="B1121">
            <v>276.47000000000003</v>
          </cell>
        </row>
        <row r="1122">
          <cell r="A1122">
            <v>44109</v>
          </cell>
          <cell r="B1122">
            <v>282.10000000000002</v>
          </cell>
        </row>
        <row r="1123">
          <cell r="A1123">
            <v>44106</v>
          </cell>
          <cell r="B1123">
            <v>279.31</v>
          </cell>
        </row>
        <row r="1124">
          <cell r="A1124">
            <v>44105</v>
          </cell>
          <cell r="B1124">
            <v>277.62</v>
          </cell>
        </row>
        <row r="1125">
          <cell r="A1125">
            <v>44104</v>
          </cell>
          <cell r="B1125">
            <v>277.70999999999998</v>
          </cell>
        </row>
        <row r="1126">
          <cell r="A1126">
            <v>44103</v>
          </cell>
          <cell r="B1126">
            <v>272.11</v>
          </cell>
        </row>
        <row r="1127">
          <cell r="A1127">
            <v>44102</v>
          </cell>
          <cell r="B1127">
            <v>272.33</v>
          </cell>
        </row>
        <row r="1128">
          <cell r="A1128">
            <v>44099</v>
          </cell>
          <cell r="B1128">
            <v>268.55</v>
          </cell>
        </row>
        <row r="1129">
          <cell r="A1129">
            <v>44098</v>
          </cell>
          <cell r="B1129">
            <v>265.7</v>
          </cell>
        </row>
        <row r="1130">
          <cell r="A1130">
            <v>44097</v>
          </cell>
          <cell r="B1130">
            <v>266.55</v>
          </cell>
        </row>
        <row r="1131">
          <cell r="A1131">
            <v>44096</v>
          </cell>
          <cell r="B1131">
            <v>273.31</v>
          </cell>
        </row>
        <row r="1132">
          <cell r="A1132">
            <v>44095</v>
          </cell>
          <cell r="B1132">
            <v>272.35000000000002</v>
          </cell>
        </row>
        <row r="1133">
          <cell r="A1133">
            <v>44092</v>
          </cell>
          <cell r="B1133">
            <v>275.19</v>
          </cell>
        </row>
        <row r="1134">
          <cell r="A1134">
            <v>44091</v>
          </cell>
          <cell r="B1134">
            <v>279.95999999999998</v>
          </cell>
        </row>
        <row r="1135">
          <cell r="A1135">
            <v>44090</v>
          </cell>
          <cell r="B1135">
            <v>281.63</v>
          </cell>
        </row>
        <row r="1136">
          <cell r="A1136">
            <v>44089</v>
          </cell>
          <cell r="B1136">
            <v>285.58</v>
          </cell>
        </row>
        <row r="1137">
          <cell r="A1137">
            <v>44088</v>
          </cell>
          <cell r="B1137">
            <v>280.64999999999998</v>
          </cell>
        </row>
        <row r="1138">
          <cell r="A1138">
            <v>44085</v>
          </cell>
          <cell r="B1138">
            <v>276.33</v>
          </cell>
        </row>
        <row r="1139">
          <cell r="A1139">
            <v>44084</v>
          </cell>
          <cell r="B1139">
            <v>272.7</v>
          </cell>
        </row>
        <row r="1140">
          <cell r="A1140">
            <v>44083</v>
          </cell>
          <cell r="B1140">
            <v>277.04000000000002</v>
          </cell>
        </row>
        <row r="1141">
          <cell r="A1141">
            <v>44082</v>
          </cell>
          <cell r="B1141">
            <v>269.26</v>
          </cell>
        </row>
        <row r="1142">
          <cell r="A1142">
            <v>44078</v>
          </cell>
          <cell r="B1142">
            <v>269.66000000000003</v>
          </cell>
        </row>
        <row r="1143">
          <cell r="A1143">
            <v>44077</v>
          </cell>
          <cell r="B1143">
            <v>274.63</v>
          </cell>
        </row>
        <row r="1144">
          <cell r="A1144">
            <v>44076</v>
          </cell>
          <cell r="B1144">
            <v>287.2</v>
          </cell>
        </row>
        <row r="1145">
          <cell r="A1145">
            <v>44075</v>
          </cell>
          <cell r="B1145">
            <v>285.94</v>
          </cell>
        </row>
        <row r="1146">
          <cell r="A1146">
            <v>44074</v>
          </cell>
          <cell r="B1146">
            <v>285.04000000000002</v>
          </cell>
        </row>
        <row r="1147">
          <cell r="A1147">
            <v>44071</v>
          </cell>
          <cell r="B1147">
            <v>286.29000000000002</v>
          </cell>
        </row>
        <row r="1148">
          <cell r="A1148">
            <v>44070</v>
          </cell>
          <cell r="B1148">
            <v>288.63</v>
          </cell>
        </row>
        <row r="1149">
          <cell r="A1149">
            <v>44069</v>
          </cell>
          <cell r="B1149">
            <v>291.93</v>
          </cell>
        </row>
        <row r="1150">
          <cell r="A1150">
            <v>44068</v>
          </cell>
          <cell r="B1150">
            <v>286.13</v>
          </cell>
        </row>
        <row r="1151">
          <cell r="A1151">
            <v>44067</v>
          </cell>
          <cell r="B1151">
            <v>286.75</v>
          </cell>
        </row>
        <row r="1152">
          <cell r="A1152">
            <v>44064</v>
          </cell>
          <cell r="B1152">
            <v>283.23</v>
          </cell>
        </row>
        <row r="1153">
          <cell r="A1153">
            <v>44063</v>
          </cell>
          <cell r="B1153">
            <v>280.68</v>
          </cell>
        </row>
        <row r="1154">
          <cell r="A1154">
            <v>44062</v>
          </cell>
          <cell r="B1154">
            <v>282.86</v>
          </cell>
        </row>
        <row r="1155">
          <cell r="A1155">
            <v>44061</v>
          </cell>
          <cell r="B1155">
            <v>285</v>
          </cell>
        </row>
        <row r="1156">
          <cell r="A1156">
            <v>44060</v>
          </cell>
          <cell r="B1156">
            <v>288.24</v>
          </cell>
        </row>
        <row r="1157">
          <cell r="A1157">
            <v>44057</v>
          </cell>
          <cell r="B1157">
            <v>280.55</v>
          </cell>
        </row>
        <row r="1158">
          <cell r="A1158">
            <v>44056</v>
          </cell>
          <cell r="B1158">
            <v>281.66000000000003</v>
          </cell>
        </row>
        <row r="1159">
          <cell r="A1159">
            <v>44055</v>
          </cell>
          <cell r="B1159">
            <v>281.58</v>
          </cell>
        </row>
        <row r="1160">
          <cell r="A1160">
            <v>44054</v>
          </cell>
          <cell r="B1160">
            <v>274.92</v>
          </cell>
        </row>
        <row r="1161">
          <cell r="A1161">
            <v>44053</v>
          </cell>
          <cell r="B1161">
            <v>274.73</v>
          </cell>
        </row>
        <row r="1162">
          <cell r="A1162">
            <v>44050</v>
          </cell>
          <cell r="B1162">
            <v>271.64</v>
          </cell>
        </row>
        <row r="1163">
          <cell r="A1163">
            <v>44049</v>
          </cell>
          <cell r="B1163">
            <v>269.37</v>
          </cell>
        </row>
        <row r="1164">
          <cell r="A1164">
            <v>44048</v>
          </cell>
          <cell r="B1164">
            <v>267.48</v>
          </cell>
        </row>
        <row r="1165">
          <cell r="A1165">
            <v>44047</v>
          </cell>
          <cell r="B1165">
            <v>267.87</v>
          </cell>
        </row>
        <row r="1166">
          <cell r="A1166">
            <v>44046</v>
          </cell>
          <cell r="B1166">
            <v>266.18</v>
          </cell>
        </row>
        <row r="1167">
          <cell r="A1167">
            <v>44043</v>
          </cell>
          <cell r="B1167">
            <v>265.49</v>
          </cell>
        </row>
        <row r="1168">
          <cell r="A1168">
            <v>44042</v>
          </cell>
          <cell r="B1168">
            <v>266.31</v>
          </cell>
        </row>
        <row r="1169">
          <cell r="A1169">
            <v>44041</v>
          </cell>
          <cell r="B1169">
            <v>264.66000000000003</v>
          </cell>
        </row>
        <row r="1170">
          <cell r="A1170">
            <v>44040</v>
          </cell>
          <cell r="B1170">
            <v>265.27999999999997</v>
          </cell>
        </row>
        <row r="1171">
          <cell r="A1171">
            <v>44039</v>
          </cell>
          <cell r="B1171">
            <v>267.42</v>
          </cell>
        </row>
        <row r="1172">
          <cell r="A1172">
            <v>44036</v>
          </cell>
          <cell r="B1172">
            <v>265.31</v>
          </cell>
        </row>
        <row r="1173">
          <cell r="A1173">
            <v>44035</v>
          </cell>
          <cell r="B1173">
            <v>263.81</v>
          </cell>
        </row>
        <row r="1174">
          <cell r="A1174">
            <v>44034</v>
          </cell>
          <cell r="B1174">
            <v>265.17</v>
          </cell>
        </row>
        <row r="1175">
          <cell r="A1175">
            <v>44033</v>
          </cell>
          <cell r="B1175">
            <v>262.42</v>
          </cell>
        </row>
        <row r="1176">
          <cell r="A1176">
            <v>44032</v>
          </cell>
          <cell r="B1176">
            <v>260.17</v>
          </cell>
        </row>
        <row r="1177">
          <cell r="A1177">
            <v>44029</v>
          </cell>
          <cell r="B1177">
            <v>260.38</v>
          </cell>
        </row>
        <row r="1178">
          <cell r="A1178">
            <v>44028</v>
          </cell>
          <cell r="B1178">
            <v>258.08</v>
          </cell>
        </row>
        <row r="1179">
          <cell r="A1179">
            <v>44027</v>
          </cell>
          <cell r="B1179">
            <v>257.8</v>
          </cell>
        </row>
        <row r="1180">
          <cell r="A1180">
            <v>44026</v>
          </cell>
          <cell r="B1180">
            <v>257.79000000000002</v>
          </cell>
        </row>
        <row r="1181">
          <cell r="A1181">
            <v>44025</v>
          </cell>
          <cell r="B1181">
            <v>249.62</v>
          </cell>
        </row>
        <row r="1182">
          <cell r="A1182">
            <v>44022</v>
          </cell>
          <cell r="B1182">
            <v>250.11</v>
          </cell>
        </row>
        <row r="1183">
          <cell r="A1183">
            <v>44021</v>
          </cell>
          <cell r="B1183">
            <v>247.96</v>
          </cell>
        </row>
        <row r="1184">
          <cell r="A1184">
            <v>44020</v>
          </cell>
          <cell r="B1184">
            <v>249.17</v>
          </cell>
        </row>
        <row r="1185">
          <cell r="A1185">
            <v>44019</v>
          </cell>
          <cell r="B1185">
            <v>247.35</v>
          </cell>
        </row>
        <row r="1186">
          <cell r="A1186">
            <v>44018</v>
          </cell>
          <cell r="B1186">
            <v>249.55</v>
          </cell>
        </row>
        <row r="1187">
          <cell r="A1187">
            <v>44014</v>
          </cell>
          <cell r="B1187">
            <v>248.5</v>
          </cell>
        </row>
        <row r="1188">
          <cell r="A1188">
            <v>44013</v>
          </cell>
          <cell r="B1188">
            <v>248.15</v>
          </cell>
        </row>
        <row r="1189">
          <cell r="A1189">
            <v>44012</v>
          </cell>
          <cell r="B1189">
            <v>250.51</v>
          </cell>
        </row>
        <row r="1190">
          <cell r="A1190">
            <v>44011</v>
          </cell>
          <cell r="B1190">
            <v>246.12</v>
          </cell>
        </row>
        <row r="1191">
          <cell r="A1191">
            <v>44008</v>
          </cell>
          <cell r="B1191">
            <v>241.01</v>
          </cell>
        </row>
        <row r="1192">
          <cell r="A1192">
            <v>44007</v>
          </cell>
          <cell r="B1192">
            <v>245.38</v>
          </cell>
        </row>
        <row r="1193">
          <cell r="A1193">
            <v>44006</v>
          </cell>
          <cell r="B1193">
            <v>246.13</v>
          </cell>
        </row>
        <row r="1194">
          <cell r="A1194">
            <v>44005</v>
          </cell>
          <cell r="B1194">
            <v>250.31</v>
          </cell>
        </row>
        <row r="1195">
          <cell r="A1195">
            <v>44004</v>
          </cell>
          <cell r="B1195">
            <v>249.16</v>
          </cell>
        </row>
        <row r="1196">
          <cell r="A1196">
            <v>44001</v>
          </cell>
          <cell r="B1196">
            <v>246.65</v>
          </cell>
        </row>
        <row r="1197">
          <cell r="A1197">
            <v>44000</v>
          </cell>
          <cell r="B1197">
            <v>249.21</v>
          </cell>
        </row>
        <row r="1198">
          <cell r="A1198">
            <v>43999</v>
          </cell>
          <cell r="B1198">
            <v>250.85</v>
          </cell>
        </row>
        <row r="1199">
          <cell r="A1199">
            <v>43998</v>
          </cell>
          <cell r="B1199">
            <v>249.95</v>
          </cell>
        </row>
        <row r="1200">
          <cell r="A1200">
            <v>43997</v>
          </cell>
          <cell r="B1200">
            <v>241.36</v>
          </cell>
        </row>
        <row r="1201">
          <cell r="A1201">
            <v>43994</v>
          </cell>
          <cell r="B1201">
            <v>242.45</v>
          </cell>
        </row>
        <row r="1202">
          <cell r="A1202">
            <v>43993</v>
          </cell>
          <cell r="B1202">
            <v>239.47</v>
          </cell>
        </row>
        <row r="1203">
          <cell r="A1203">
            <v>43992</v>
          </cell>
          <cell r="B1203">
            <v>254.45</v>
          </cell>
        </row>
        <row r="1204">
          <cell r="A1204">
            <v>43991</v>
          </cell>
          <cell r="B1204">
            <v>256.76</v>
          </cell>
        </row>
        <row r="1205">
          <cell r="A1205">
            <v>43990</v>
          </cell>
          <cell r="B1205">
            <v>256.77</v>
          </cell>
        </row>
        <row r="1206">
          <cell r="A1206">
            <v>43987</v>
          </cell>
          <cell r="B1206">
            <v>254.9</v>
          </cell>
        </row>
        <row r="1207">
          <cell r="A1207">
            <v>43986</v>
          </cell>
          <cell r="B1207">
            <v>248.95</v>
          </cell>
        </row>
        <row r="1208">
          <cell r="A1208">
            <v>43985</v>
          </cell>
          <cell r="B1208">
            <v>251</v>
          </cell>
        </row>
        <row r="1209">
          <cell r="A1209">
            <v>43984</v>
          </cell>
          <cell r="B1209">
            <v>252.71</v>
          </cell>
        </row>
        <row r="1210">
          <cell r="A1210">
            <v>43983</v>
          </cell>
          <cell r="B1210">
            <v>247.29</v>
          </cell>
        </row>
        <row r="1211">
          <cell r="A1211">
            <v>43980</v>
          </cell>
          <cell r="B1211">
            <v>248.48</v>
          </cell>
        </row>
        <row r="1212">
          <cell r="A1212">
            <v>43979</v>
          </cell>
          <cell r="B1212">
            <v>245.14</v>
          </cell>
        </row>
        <row r="1213">
          <cell r="A1213">
            <v>43978</v>
          </cell>
          <cell r="B1213">
            <v>247.36</v>
          </cell>
        </row>
        <row r="1214">
          <cell r="A1214">
            <v>43977</v>
          </cell>
          <cell r="B1214">
            <v>242.48</v>
          </cell>
        </row>
        <row r="1215">
          <cell r="A1215">
            <v>43973</v>
          </cell>
          <cell r="B1215">
            <v>241.88</v>
          </cell>
        </row>
        <row r="1216">
          <cell r="A1216">
            <v>43972</v>
          </cell>
          <cell r="B1216">
            <v>240.88</v>
          </cell>
        </row>
        <row r="1217">
          <cell r="A1217">
            <v>43971</v>
          </cell>
          <cell r="B1217">
            <v>238.19</v>
          </cell>
        </row>
        <row r="1218">
          <cell r="A1218">
            <v>43970</v>
          </cell>
          <cell r="B1218">
            <v>238.1</v>
          </cell>
        </row>
        <row r="1219">
          <cell r="A1219">
            <v>43969</v>
          </cell>
          <cell r="B1219">
            <v>245.35</v>
          </cell>
        </row>
        <row r="1220">
          <cell r="A1220">
            <v>43966</v>
          </cell>
          <cell r="B1220">
            <v>239.33</v>
          </cell>
        </row>
        <row r="1221">
          <cell r="A1221">
            <v>43965</v>
          </cell>
          <cell r="B1221">
            <v>234.48</v>
          </cell>
        </row>
        <row r="1222">
          <cell r="A1222">
            <v>43964</v>
          </cell>
          <cell r="B1222">
            <v>230.1</v>
          </cell>
        </row>
        <row r="1223">
          <cell r="A1223">
            <v>43963</v>
          </cell>
          <cell r="B1223">
            <v>232.9</v>
          </cell>
        </row>
        <row r="1224">
          <cell r="A1224">
            <v>43962</v>
          </cell>
          <cell r="B1224">
            <v>236.56</v>
          </cell>
        </row>
        <row r="1225">
          <cell r="A1225">
            <v>43959</v>
          </cell>
          <cell r="B1225">
            <v>234.43</v>
          </cell>
        </row>
        <row r="1226">
          <cell r="A1226">
            <v>43958</v>
          </cell>
          <cell r="B1226">
            <v>229.45</v>
          </cell>
        </row>
        <row r="1227">
          <cell r="A1227">
            <v>43957</v>
          </cell>
          <cell r="B1227">
            <v>223.92</v>
          </cell>
        </row>
        <row r="1228">
          <cell r="A1228">
            <v>43956</v>
          </cell>
          <cell r="B1228">
            <v>225.61</v>
          </cell>
        </row>
        <row r="1229">
          <cell r="A1229">
            <v>43955</v>
          </cell>
          <cell r="B1229">
            <v>221.84</v>
          </cell>
        </row>
        <row r="1230">
          <cell r="A1230">
            <v>43952</v>
          </cell>
          <cell r="B1230">
            <v>218.57</v>
          </cell>
        </row>
        <row r="1231">
          <cell r="A1231">
            <v>43951</v>
          </cell>
          <cell r="B1231">
            <v>219.83</v>
          </cell>
        </row>
        <row r="1232">
          <cell r="A1232">
            <v>43950</v>
          </cell>
          <cell r="B1232">
            <v>221.81</v>
          </cell>
        </row>
        <row r="1233">
          <cell r="A1233">
            <v>43949</v>
          </cell>
          <cell r="B1233">
            <v>217.63</v>
          </cell>
        </row>
        <row r="1234">
          <cell r="A1234">
            <v>43948</v>
          </cell>
          <cell r="B1234">
            <v>217.76</v>
          </cell>
        </row>
        <row r="1235">
          <cell r="A1235">
            <v>43945</v>
          </cell>
          <cell r="B1235">
            <v>212.18</v>
          </cell>
        </row>
        <row r="1236">
          <cell r="A1236">
            <v>43944</v>
          </cell>
          <cell r="B1236">
            <v>202.32</v>
          </cell>
        </row>
        <row r="1237">
          <cell r="A1237">
            <v>43943</v>
          </cell>
          <cell r="B1237">
            <v>204.17</v>
          </cell>
        </row>
        <row r="1238">
          <cell r="A1238">
            <v>43942</v>
          </cell>
          <cell r="B1238">
            <v>200.61</v>
          </cell>
        </row>
        <row r="1239">
          <cell r="A1239">
            <v>43941</v>
          </cell>
          <cell r="B1239">
            <v>206.05</v>
          </cell>
        </row>
        <row r="1240">
          <cell r="A1240">
            <v>43938</v>
          </cell>
          <cell r="B1240">
            <v>209.42</v>
          </cell>
        </row>
        <row r="1241">
          <cell r="A1241">
            <v>43937</v>
          </cell>
          <cell r="B1241">
            <v>199.85</v>
          </cell>
        </row>
        <row r="1242">
          <cell r="A1242">
            <v>43936</v>
          </cell>
          <cell r="B1242">
            <v>198.48</v>
          </cell>
        </row>
        <row r="1243">
          <cell r="A1243">
            <v>43935</v>
          </cell>
          <cell r="B1243">
            <v>207.17</v>
          </cell>
        </row>
        <row r="1244">
          <cell r="A1244">
            <v>43934</v>
          </cell>
          <cell r="B1244">
            <v>198.79</v>
          </cell>
        </row>
        <row r="1245">
          <cell r="A1245">
            <v>43930</v>
          </cell>
          <cell r="B1245">
            <v>201.53</v>
          </cell>
        </row>
        <row r="1246">
          <cell r="A1246">
            <v>43929</v>
          </cell>
          <cell r="B1246">
            <v>194.82</v>
          </cell>
        </row>
        <row r="1247">
          <cell r="A1247">
            <v>43928</v>
          </cell>
          <cell r="B1247">
            <v>192.29</v>
          </cell>
        </row>
        <row r="1248">
          <cell r="A1248">
            <v>43927</v>
          </cell>
          <cell r="B1248">
            <v>191.33</v>
          </cell>
        </row>
        <row r="1249">
          <cell r="A1249">
            <v>43924</v>
          </cell>
          <cell r="B1249">
            <v>178.7</v>
          </cell>
        </row>
        <row r="1250">
          <cell r="A1250">
            <v>43923</v>
          </cell>
          <cell r="B1250">
            <v>181.31</v>
          </cell>
        </row>
        <row r="1251">
          <cell r="A1251">
            <v>43922</v>
          </cell>
          <cell r="B1251">
            <v>178.63</v>
          </cell>
        </row>
        <row r="1252">
          <cell r="A1252">
            <v>43921</v>
          </cell>
          <cell r="B1252">
            <v>186.71</v>
          </cell>
        </row>
        <row r="1253">
          <cell r="A1253">
            <v>43920</v>
          </cell>
          <cell r="B1253">
            <v>196.1</v>
          </cell>
        </row>
        <row r="1254">
          <cell r="A1254">
            <v>43917</v>
          </cell>
          <cell r="B1254">
            <v>190.55</v>
          </cell>
        </row>
        <row r="1255">
          <cell r="A1255">
            <v>43916</v>
          </cell>
          <cell r="B1255">
            <v>195.21</v>
          </cell>
        </row>
        <row r="1256">
          <cell r="A1256">
            <v>43915</v>
          </cell>
          <cell r="B1256">
            <v>181.76</v>
          </cell>
        </row>
        <row r="1257">
          <cell r="A1257">
            <v>43914</v>
          </cell>
          <cell r="B1257">
            <v>184.72</v>
          </cell>
        </row>
        <row r="1258">
          <cell r="A1258">
            <v>43913</v>
          </cell>
          <cell r="B1258">
            <v>162.38999999999999</v>
          </cell>
        </row>
        <row r="1259">
          <cell r="A1259">
            <v>43910</v>
          </cell>
          <cell r="B1259">
            <v>152.15</v>
          </cell>
        </row>
        <row r="1260">
          <cell r="A1260">
            <v>43909</v>
          </cell>
          <cell r="B1260">
            <v>161.13</v>
          </cell>
        </row>
        <row r="1261">
          <cell r="A1261">
            <v>43908</v>
          </cell>
          <cell r="B1261">
            <v>155.63</v>
          </cell>
        </row>
        <row r="1262">
          <cell r="A1262">
            <v>43907</v>
          </cell>
          <cell r="B1262">
            <v>173.64</v>
          </cell>
        </row>
        <row r="1263">
          <cell r="A1263">
            <v>43906</v>
          </cell>
          <cell r="B1263">
            <v>164.96</v>
          </cell>
        </row>
        <row r="1264">
          <cell r="A1264">
            <v>43903</v>
          </cell>
          <cell r="B1264">
            <v>205.67</v>
          </cell>
        </row>
        <row r="1265">
          <cell r="A1265">
            <v>43902</v>
          </cell>
          <cell r="B1265">
            <v>190.59</v>
          </cell>
        </row>
        <row r="1266">
          <cell r="A1266">
            <v>43901</v>
          </cell>
          <cell r="B1266">
            <v>212.89</v>
          </cell>
        </row>
        <row r="1267">
          <cell r="A1267">
            <v>43900</v>
          </cell>
          <cell r="B1267">
            <v>225.7</v>
          </cell>
        </row>
        <row r="1268">
          <cell r="A1268">
            <v>43899</v>
          </cell>
          <cell r="B1268">
            <v>210.46</v>
          </cell>
        </row>
        <row r="1269">
          <cell r="A1269">
            <v>43896</v>
          </cell>
          <cell r="B1269">
            <v>228.51</v>
          </cell>
        </row>
        <row r="1270">
          <cell r="A1270">
            <v>43895</v>
          </cell>
          <cell r="B1270">
            <v>234.81</v>
          </cell>
        </row>
        <row r="1271">
          <cell r="A1271">
            <v>43894</v>
          </cell>
          <cell r="B1271">
            <v>241.08</v>
          </cell>
        </row>
        <row r="1272">
          <cell r="A1272">
            <v>43893</v>
          </cell>
          <cell r="B1272">
            <v>227.94</v>
          </cell>
        </row>
        <row r="1273">
          <cell r="A1273">
            <v>43892</v>
          </cell>
          <cell r="B1273">
            <v>229.94</v>
          </cell>
        </row>
        <row r="1274">
          <cell r="A1274">
            <v>43889</v>
          </cell>
          <cell r="B1274">
            <v>217.84</v>
          </cell>
        </row>
        <row r="1275">
          <cell r="A1275">
            <v>43888</v>
          </cell>
          <cell r="B1275">
            <v>224.73</v>
          </cell>
        </row>
        <row r="1276">
          <cell r="A1276">
            <v>43887</v>
          </cell>
          <cell r="B1276">
            <v>235.28</v>
          </cell>
        </row>
        <row r="1277">
          <cell r="A1277">
            <v>43886</v>
          </cell>
          <cell r="B1277">
            <v>237.38</v>
          </cell>
        </row>
        <row r="1278">
          <cell r="A1278">
            <v>43885</v>
          </cell>
          <cell r="B1278">
            <v>239.7</v>
          </cell>
        </row>
        <row r="1279">
          <cell r="A1279">
            <v>43882</v>
          </cell>
          <cell r="B1279">
            <v>245.34</v>
          </cell>
        </row>
        <row r="1280">
          <cell r="A1280">
            <v>43881</v>
          </cell>
          <cell r="B1280">
            <v>247.02</v>
          </cell>
        </row>
        <row r="1281">
          <cell r="A1281">
            <v>43880</v>
          </cell>
          <cell r="B1281">
            <v>243.64</v>
          </cell>
        </row>
        <row r="1282">
          <cell r="A1282">
            <v>43879</v>
          </cell>
          <cell r="B1282">
            <v>243.94</v>
          </cell>
        </row>
        <row r="1283">
          <cell r="A1283">
            <v>43875</v>
          </cell>
          <cell r="B1283">
            <v>245.03</v>
          </cell>
        </row>
        <row r="1284">
          <cell r="A1284">
            <v>43874</v>
          </cell>
          <cell r="B1284">
            <v>242.36</v>
          </cell>
        </row>
        <row r="1285">
          <cell r="A1285">
            <v>43873</v>
          </cell>
          <cell r="B1285">
            <v>241.59</v>
          </cell>
        </row>
        <row r="1286">
          <cell r="A1286">
            <v>43872</v>
          </cell>
          <cell r="B1286">
            <v>241.64</v>
          </cell>
        </row>
        <row r="1287">
          <cell r="A1287">
            <v>43871</v>
          </cell>
          <cell r="B1287">
            <v>240.61</v>
          </cell>
        </row>
        <row r="1288">
          <cell r="A1288">
            <v>43868</v>
          </cell>
          <cell r="B1288">
            <v>237.3</v>
          </cell>
        </row>
        <row r="1289">
          <cell r="A1289">
            <v>43867</v>
          </cell>
          <cell r="B1289">
            <v>238.84</v>
          </cell>
        </row>
        <row r="1290">
          <cell r="A1290">
            <v>43866</v>
          </cell>
          <cell r="B1290">
            <v>238.11</v>
          </cell>
        </row>
        <row r="1291">
          <cell r="A1291">
            <v>43865</v>
          </cell>
          <cell r="B1291">
            <v>235</v>
          </cell>
        </row>
        <row r="1292">
          <cell r="A1292">
            <v>43864</v>
          </cell>
          <cell r="B1292">
            <v>231.54</v>
          </cell>
        </row>
        <row r="1293">
          <cell r="A1293">
            <v>43861</v>
          </cell>
          <cell r="B1293">
            <v>228.1</v>
          </cell>
        </row>
        <row r="1294">
          <cell r="A1294">
            <v>43860</v>
          </cell>
          <cell r="B1294">
            <v>232.79</v>
          </cell>
        </row>
        <row r="1295">
          <cell r="A1295">
            <v>43859</v>
          </cell>
          <cell r="B1295">
            <v>234.02</v>
          </cell>
        </row>
        <row r="1296">
          <cell r="A1296">
            <v>43858</v>
          </cell>
          <cell r="B1296">
            <v>233.86</v>
          </cell>
        </row>
        <row r="1297">
          <cell r="A1297">
            <v>43857</v>
          </cell>
          <cell r="B1297">
            <v>231.19</v>
          </cell>
        </row>
        <row r="1298">
          <cell r="A1298">
            <v>43854</v>
          </cell>
          <cell r="B1298">
            <v>232</v>
          </cell>
        </row>
        <row r="1299">
          <cell r="A1299">
            <v>43853</v>
          </cell>
          <cell r="B1299">
            <v>233.65</v>
          </cell>
        </row>
        <row r="1300">
          <cell r="A1300">
            <v>43852</v>
          </cell>
          <cell r="B1300">
            <v>232.9</v>
          </cell>
        </row>
        <row r="1301">
          <cell r="A1301">
            <v>43851</v>
          </cell>
          <cell r="B1301">
            <v>232.95</v>
          </cell>
        </row>
        <row r="1302">
          <cell r="A1302">
            <v>43847</v>
          </cell>
          <cell r="B1302">
            <v>231.91</v>
          </cell>
        </row>
        <row r="1303">
          <cell r="A1303">
            <v>43846</v>
          </cell>
          <cell r="B1303">
            <v>228.82</v>
          </cell>
        </row>
        <row r="1304">
          <cell r="A1304">
            <v>43845</v>
          </cell>
          <cell r="B1304">
            <v>224.59</v>
          </cell>
        </row>
        <row r="1305">
          <cell r="A1305">
            <v>43844</v>
          </cell>
          <cell r="B1305">
            <v>222.81</v>
          </cell>
        </row>
        <row r="1306">
          <cell r="A1306">
            <v>43843</v>
          </cell>
          <cell r="B1306">
            <v>223.34</v>
          </cell>
        </row>
        <row r="1307">
          <cell r="A1307">
            <v>43840</v>
          </cell>
          <cell r="B1307">
            <v>224.22</v>
          </cell>
        </row>
        <row r="1308">
          <cell r="A1308">
            <v>43839</v>
          </cell>
          <cell r="B1308">
            <v>225.19</v>
          </cell>
        </row>
        <row r="1309">
          <cell r="A1309">
            <v>43838</v>
          </cell>
          <cell r="B1309">
            <v>221.79</v>
          </cell>
        </row>
        <row r="1310">
          <cell r="A1310">
            <v>43837</v>
          </cell>
          <cell r="B1310">
            <v>218.52</v>
          </cell>
        </row>
        <row r="1311">
          <cell r="A1311">
            <v>43836</v>
          </cell>
          <cell r="B1311">
            <v>219.96</v>
          </cell>
        </row>
        <row r="1312">
          <cell r="A1312">
            <v>43833</v>
          </cell>
          <cell r="B1312">
            <v>218.93</v>
          </cell>
        </row>
        <row r="1313">
          <cell r="A1313">
            <v>43832</v>
          </cell>
          <cell r="B1313">
            <v>219.66</v>
          </cell>
        </row>
        <row r="1314">
          <cell r="A1314">
            <v>43830</v>
          </cell>
          <cell r="B1314">
            <v>218.38</v>
          </cell>
        </row>
        <row r="1315">
          <cell r="A1315">
            <v>43829</v>
          </cell>
          <cell r="B1315">
            <v>217.31</v>
          </cell>
        </row>
        <row r="1316">
          <cell r="A1316">
            <v>43826</v>
          </cell>
          <cell r="B1316">
            <v>219.97</v>
          </cell>
        </row>
        <row r="1317">
          <cell r="A1317">
            <v>43825</v>
          </cell>
          <cell r="B1317">
            <v>220.82</v>
          </cell>
        </row>
        <row r="1318">
          <cell r="A1318">
            <v>43823</v>
          </cell>
          <cell r="B1318">
            <v>220.67</v>
          </cell>
        </row>
        <row r="1319">
          <cell r="A1319">
            <v>43822</v>
          </cell>
          <cell r="B1319">
            <v>219.21</v>
          </cell>
        </row>
        <row r="1320">
          <cell r="A1320">
            <v>43819</v>
          </cell>
          <cell r="B1320">
            <v>221.19</v>
          </cell>
        </row>
        <row r="1321">
          <cell r="A1321">
            <v>43818</v>
          </cell>
          <cell r="B1321">
            <v>220.22</v>
          </cell>
        </row>
        <row r="1322">
          <cell r="A1322">
            <v>43817</v>
          </cell>
          <cell r="B1322">
            <v>218</v>
          </cell>
        </row>
        <row r="1323">
          <cell r="A1323">
            <v>43816</v>
          </cell>
          <cell r="B1323">
            <v>217.72</v>
          </cell>
        </row>
        <row r="1324">
          <cell r="A1324">
            <v>43815</v>
          </cell>
          <cell r="B1324">
            <v>215.53</v>
          </cell>
        </row>
        <row r="1325">
          <cell r="A1325">
            <v>43812</v>
          </cell>
          <cell r="B1325">
            <v>214.08</v>
          </cell>
        </row>
        <row r="1326">
          <cell r="A1326">
            <v>43811</v>
          </cell>
          <cell r="B1326">
            <v>212.04</v>
          </cell>
        </row>
        <row r="1327">
          <cell r="A1327">
            <v>43810</v>
          </cell>
          <cell r="B1327">
            <v>212</v>
          </cell>
        </row>
        <row r="1328">
          <cell r="A1328">
            <v>43809</v>
          </cell>
          <cell r="B1328">
            <v>215.9</v>
          </cell>
        </row>
        <row r="1329">
          <cell r="A1329">
            <v>43808</v>
          </cell>
          <cell r="B1329">
            <v>216.53</v>
          </cell>
        </row>
        <row r="1330">
          <cell r="A1330">
            <v>43805</v>
          </cell>
          <cell r="B1330">
            <v>214.28</v>
          </cell>
        </row>
        <row r="1331">
          <cell r="A1331">
            <v>43804</v>
          </cell>
          <cell r="B1331">
            <v>213</v>
          </cell>
        </row>
        <row r="1332">
          <cell r="A1332">
            <v>43803</v>
          </cell>
          <cell r="B1332">
            <v>214.1</v>
          </cell>
        </row>
        <row r="1333">
          <cell r="A1333">
            <v>43802</v>
          </cell>
          <cell r="B1333">
            <v>214</v>
          </cell>
        </row>
        <row r="1334">
          <cell r="A1334">
            <v>43801</v>
          </cell>
          <cell r="B1334">
            <v>217.62</v>
          </cell>
        </row>
        <row r="1335">
          <cell r="A1335">
            <v>43798</v>
          </cell>
          <cell r="B1335">
            <v>220.51</v>
          </cell>
        </row>
        <row r="1336">
          <cell r="A1336">
            <v>43796</v>
          </cell>
          <cell r="B1336">
            <v>223</v>
          </cell>
        </row>
        <row r="1337">
          <cell r="A1337">
            <v>43795</v>
          </cell>
          <cell r="B1337">
            <v>220.76</v>
          </cell>
        </row>
        <row r="1338">
          <cell r="A1338">
            <v>43794</v>
          </cell>
          <cell r="B1338">
            <v>218.4</v>
          </cell>
        </row>
        <row r="1339">
          <cell r="A1339">
            <v>43791</v>
          </cell>
          <cell r="B1339">
            <v>218.03</v>
          </cell>
        </row>
        <row r="1340">
          <cell r="A1340">
            <v>43790</v>
          </cell>
          <cell r="B1340">
            <v>218.54</v>
          </cell>
        </row>
        <row r="1341">
          <cell r="A1341">
            <v>43789</v>
          </cell>
          <cell r="B1341">
            <v>220.9</v>
          </cell>
        </row>
        <row r="1342">
          <cell r="A1342">
            <v>43788</v>
          </cell>
          <cell r="B1342">
            <v>225.86</v>
          </cell>
        </row>
        <row r="1343">
          <cell r="A1343">
            <v>43787</v>
          </cell>
          <cell r="B1343">
            <v>238.85</v>
          </cell>
        </row>
        <row r="1344">
          <cell r="A1344">
            <v>43784</v>
          </cell>
          <cell r="B1344">
            <v>237.29</v>
          </cell>
        </row>
        <row r="1345">
          <cell r="A1345">
            <v>43783</v>
          </cell>
          <cell r="B1345">
            <v>236.55</v>
          </cell>
        </row>
        <row r="1346">
          <cell r="A1346">
            <v>43782</v>
          </cell>
          <cell r="B1346">
            <v>234.8</v>
          </cell>
        </row>
        <row r="1347">
          <cell r="A1347">
            <v>43781</v>
          </cell>
          <cell r="B1347">
            <v>233.12</v>
          </cell>
        </row>
        <row r="1348">
          <cell r="A1348">
            <v>43780</v>
          </cell>
          <cell r="B1348">
            <v>231.8</v>
          </cell>
        </row>
        <row r="1349">
          <cell r="A1349">
            <v>43777</v>
          </cell>
          <cell r="B1349">
            <v>232.84</v>
          </cell>
        </row>
        <row r="1350">
          <cell r="A1350">
            <v>43776</v>
          </cell>
          <cell r="B1350">
            <v>232.94</v>
          </cell>
        </row>
        <row r="1351">
          <cell r="A1351">
            <v>43775</v>
          </cell>
          <cell r="B1351">
            <v>234.01</v>
          </cell>
        </row>
        <row r="1352">
          <cell r="A1352">
            <v>43774</v>
          </cell>
          <cell r="B1352">
            <v>232.2</v>
          </cell>
        </row>
        <row r="1353">
          <cell r="A1353">
            <v>43773</v>
          </cell>
          <cell r="B1353">
            <v>234.92</v>
          </cell>
        </row>
        <row r="1354">
          <cell r="A1354">
            <v>43770</v>
          </cell>
          <cell r="B1354">
            <v>237.34</v>
          </cell>
        </row>
        <row r="1355">
          <cell r="A1355">
            <v>43769</v>
          </cell>
          <cell r="B1355">
            <v>234.58</v>
          </cell>
        </row>
        <row r="1356">
          <cell r="A1356">
            <v>43768</v>
          </cell>
          <cell r="B1356">
            <v>236.24</v>
          </cell>
        </row>
        <row r="1357">
          <cell r="A1357">
            <v>43767</v>
          </cell>
          <cell r="B1357">
            <v>234.14</v>
          </cell>
        </row>
        <row r="1358">
          <cell r="A1358">
            <v>43766</v>
          </cell>
          <cell r="B1358">
            <v>236.8</v>
          </cell>
        </row>
        <row r="1359">
          <cell r="A1359">
            <v>43763</v>
          </cell>
          <cell r="B1359">
            <v>234.38</v>
          </cell>
        </row>
        <row r="1360">
          <cell r="A1360">
            <v>43762</v>
          </cell>
          <cell r="B1360">
            <v>233.89</v>
          </cell>
        </row>
        <row r="1361">
          <cell r="A1361">
            <v>43761</v>
          </cell>
          <cell r="B1361">
            <v>234.67</v>
          </cell>
        </row>
        <row r="1362">
          <cell r="A1362">
            <v>43760</v>
          </cell>
          <cell r="B1362">
            <v>237.2</v>
          </cell>
        </row>
        <row r="1363">
          <cell r="A1363">
            <v>43759</v>
          </cell>
          <cell r="B1363">
            <v>236.7</v>
          </cell>
        </row>
        <row r="1364">
          <cell r="A1364">
            <v>43756</v>
          </cell>
          <cell r="B1364">
            <v>237.93</v>
          </cell>
        </row>
        <row r="1365">
          <cell r="A1365">
            <v>43755</v>
          </cell>
          <cell r="B1365">
            <v>236.77</v>
          </cell>
        </row>
        <row r="1366">
          <cell r="A1366">
            <v>43754</v>
          </cell>
          <cell r="B1366">
            <v>235.9</v>
          </cell>
        </row>
        <row r="1367">
          <cell r="A1367">
            <v>43753</v>
          </cell>
          <cell r="B1367">
            <v>235.62</v>
          </cell>
        </row>
        <row r="1368">
          <cell r="A1368">
            <v>43752</v>
          </cell>
          <cell r="B1368">
            <v>234.18</v>
          </cell>
        </row>
        <row r="1369">
          <cell r="A1369">
            <v>43749</v>
          </cell>
          <cell r="B1369">
            <v>234.66</v>
          </cell>
        </row>
        <row r="1370">
          <cell r="A1370">
            <v>43748</v>
          </cell>
          <cell r="B1370">
            <v>231.61</v>
          </cell>
        </row>
        <row r="1371">
          <cell r="A1371">
            <v>43747</v>
          </cell>
          <cell r="B1371">
            <v>228.94</v>
          </cell>
        </row>
        <row r="1372">
          <cell r="A1372">
            <v>43746</v>
          </cell>
          <cell r="B1372">
            <v>226.67</v>
          </cell>
        </row>
        <row r="1373">
          <cell r="A1373">
            <v>43745</v>
          </cell>
          <cell r="B1373">
            <v>226.74</v>
          </cell>
        </row>
        <row r="1374">
          <cell r="A1374">
            <v>43742</v>
          </cell>
          <cell r="B1374">
            <v>227.93</v>
          </cell>
        </row>
        <row r="1375">
          <cell r="A1375">
            <v>43741</v>
          </cell>
          <cell r="B1375">
            <v>226.81</v>
          </cell>
        </row>
        <row r="1376">
          <cell r="A1376">
            <v>43740</v>
          </cell>
          <cell r="B1376">
            <v>225.55</v>
          </cell>
        </row>
        <row r="1377">
          <cell r="A1377">
            <v>43739</v>
          </cell>
          <cell r="B1377">
            <v>231.08</v>
          </cell>
        </row>
        <row r="1378">
          <cell r="A1378">
            <v>43738</v>
          </cell>
          <cell r="B1378">
            <v>232.02</v>
          </cell>
        </row>
        <row r="1379">
          <cell r="A1379">
            <v>43735</v>
          </cell>
          <cell r="B1379">
            <v>229.86</v>
          </cell>
        </row>
        <row r="1380">
          <cell r="A1380">
            <v>43734</v>
          </cell>
          <cell r="B1380">
            <v>229.79</v>
          </cell>
        </row>
        <row r="1381">
          <cell r="A1381">
            <v>43733</v>
          </cell>
          <cell r="B1381">
            <v>228.1</v>
          </cell>
        </row>
        <row r="1382">
          <cell r="A1382">
            <v>43732</v>
          </cell>
          <cell r="B1382">
            <v>225.41</v>
          </cell>
        </row>
        <row r="1383">
          <cell r="A1383">
            <v>43731</v>
          </cell>
          <cell r="B1383">
            <v>226.25</v>
          </cell>
        </row>
        <row r="1384">
          <cell r="A1384">
            <v>43728</v>
          </cell>
          <cell r="B1384">
            <v>224.67</v>
          </cell>
        </row>
        <row r="1385">
          <cell r="A1385">
            <v>43727</v>
          </cell>
          <cell r="B1385">
            <v>228.12</v>
          </cell>
        </row>
        <row r="1386">
          <cell r="A1386">
            <v>43726</v>
          </cell>
          <cell r="B1386">
            <v>230.83</v>
          </cell>
        </row>
        <row r="1387">
          <cell r="A1387">
            <v>43725</v>
          </cell>
          <cell r="B1387">
            <v>230.21</v>
          </cell>
        </row>
        <row r="1388">
          <cell r="A1388">
            <v>43724</v>
          </cell>
          <cell r="B1388">
            <v>230.99</v>
          </cell>
        </row>
        <row r="1389">
          <cell r="A1389">
            <v>43721</v>
          </cell>
          <cell r="B1389">
            <v>233.98</v>
          </cell>
        </row>
        <row r="1390">
          <cell r="A1390">
            <v>43720</v>
          </cell>
          <cell r="B1390">
            <v>233.8</v>
          </cell>
        </row>
        <row r="1391">
          <cell r="A1391">
            <v>43719</v>
          </cell>
          <cell r="B1391">
            <v>232.66</v>
          </cell>
        </row>
        <row r="1392">
          <cell r="A1392">
            <v>43718</v>
          </cell>
          <cell r="B1392">
            <v>233</v>
          </cell>
        </row>
        <row r="1393">
          <cell r="A1393">
            <v>43717</v>
          </cell>
          <cell r="B1393">
            <v>232.87</v>
          </cell>
        </row>
        <row r="1394">
          <cell r="A1394">
            <v>43714</v>
          </cell>
          <cell r="B1394">
            <v>231.13</v>
          </cell>
        </row>
        <row r="1395">
          <cell r="A1395">
            <v>43713</v>
          </cell>
          <cell r="B1395">
            <v>228.15</v>
          </cell>
        </row>
        <row r="1396">
          <cell r="A1396">
            <v>43712</v>
          </cell>
          <cell r="B1396">
            <v>224.15</v>
          </cell>
        </row>
        <row r="1397">
          <cell r="A1397">
            <v>43711</v>
          </cell>
          <cell r="B1397">
            <v>224.07</v>
          </cell>
        </row>
        <row r="1398">
          <cell r="A1398">
            <v>43707</v>
          </cell>
          <cell r="B1398">
            <v>227.91</v>
          </cell>
        </row>
        <row r="1399">
          <cell r="A1399">
            <v>43706</v>
          </cell>
          <cell r="B1399">
            <v>227.32</v>
          </cell>
        </row>
        <row r="1400">
          <cell r="A1400">
            <v>43705</v>
          </cell>
          <cell r="B1400">
            <v>221.95</v>
          </cell>
        </row>
        <row r="1401">
          <cell r="A1401">
            <v>43704</v>
          </cell>
          <cell r="B1401">
            <v>218.21</v>
          </cell>
        </row>
        <row r="1402">
          <cell r="A1402">
            <v>43703</v>
          </cell>
          <cell r="B1402">
            <v>218.65</v>
          </cell>
        </row>
        <row r="1403">
          <cell r="A1403">
            <v>43700</v>
          </cell>
          <cell r="B1403">
            <v>217.47</v>
          </cell>
        </row>
        <row r="1404">
          <cell r="A1404">
            <v>43699</v>
          </cell>
          <cell r="B1404">
            <v>221.02</v>
          </cell>
        </row>
        <row r="1405">
          <cell r="A1405">
            <v>43698</v>
          </cell>
          <cell r="B1405">
            <v>220.4</v>
          </cell>
        </row>
        <row r="1406">
          <cell r="A1406">
            <v>43697</v>
          </cell>
          <cell r="B1406">
            <v>217.09</v>
          </cell>
        </row>
        <row r="1407">
          <cell r="A1407">
            <v>43696</v>
          </cell>
          <cell r="B1407">
            <v>207.95</v>
          </cell>
        </row>
        <row r="1408">
          <cell r="A1408">
            <v>43693</v>
          </cell>
          <cell r="B1408">
            <v>203.65</v>
          </cell>
        </row>
        <row r="1409">
          <cell r="A1409">
            <v>43692</v>
          </cell>
          <cell r="B1409">
            <v>201.79</v>
          </cell>
        </row>
        <row r="1410">
          <cell r="A1410">
            <v>43691</v>
          </cell>
          <cell r="B1410">
            <v>201.59</v>
          </cell>
        </row>
        <row r="1411">
          <cell r="A1411">
            <v>43690</v>
          </cell>
          <cell r="B1411">
            <v>208.33</v>
          </cell>
        </row>
        <row r="1412">
          <cell r="A1412">
            <v>43689</v>
          </cell>
          <cell r="B1412">
            <v>207.01</v>
          </cell>
        </row>
        <row r="1413">
          <cell r="A1413">
            <v>43686</v>
          </cell>
          <cell r="B1413">
            <v>210.02</v>
          </cell>
        </row>
        <row r="1414">
          <cell r="A1414">
            <v>43685</v>
          </cell>
          <cell r="B1414">
            <v>211.57</v>
          </cell>
        </row>
        <row r="1415">
          <cell r="A1415">
            <v>43684</v>
          </cell>
          <cell r="B1415">
            <v>207.91</v>
          </cell>
        </row>
        <row r="1416">
          <cell r="A1416">
            <v>43683</v>
          </cell>
          <cell r="B1416">
            <v>208.8</v>
          </cell>
        </row>
        <row r="1417">
          <cell r="A1417">
            <v>43682</v>
          </cell>
          <cell r="B1417">
            <v>204.94</v>
          </cell>
        </row>
        <row r="1418">
          <cell r="A1418">
            <v>43679</v>
          </cell>
          <cell r="B1418">
            <v>212.15</v>
          </cell>
        </row>
        <row r="1419">
          <cell r="A1419">
            <v>43678</v>
          </cell>
          <cell r="B1419">
            <v>212.83</v>
          </cell>
        </row>
        <row r="1420">
          <cell r="A1420">
            <v>43677</v>
          </cell>
          <cell r="B1420">
            <v>213.69</v>
          </cell>
        </row>
        <row r="1421">
          <cell r="A1421">
            <v>43676</v>
          </cell>
          <cell r="B1421">
            <v>217.36</v>
          </cell>
        </row>
        <row r="1422">
          <cell r="A1422">
            <v>43675</v>
          </cell>
          <cell r="B1422">
            <v>218.04</v>
          </cell>
        </row>
        <row r="1423">
          <cell r="A1423">
            <v>43672</v>
          </cell>
          <cell r="B1423">
            <v>216.91</v>
          </cell>
        </row>
        <row r="1424">
          <cell r="A1424">
            <v>43671</v>
          </cell>
          <cell r="B1424">
            <v>215.55</v>
          </cell>
        </row>
        <row r="1425">
          <cell r="A1425">
            <v>43670</v>
          </cell>
          <cell r="B1425">
            <v>214.71</v>
          </cell>
        </row>
        <row r="1426">
          <cell r="A1426">
            <v>43669</v>
          </cell>
          <cell r="B1426">
            <v>213.08</v>
          </cell>
        </row>
        <row r="1427">
          <cell r="A1427">
            <v>43668</v>
          </cell>
          <cell r="B1427">
            <v>211.27</v>
          </cell>
        </row>
        <row r="1428">
          <cell r="A1428">
            <v>43665</v>
          </cell>
          <cell r="B1428">
            <v>213.04</v>
          </cell>
        </row>
        <row r="1429">
          <cell r="A1429">
            <v>43664</v>
          </cell>
          <cell r="B1429">
            <v>214.44</v>
          </cell>
        </row>
        <row r="1430">
          <cell r="A1430">
            <v>43663</v>
          </cell>
          <cell r="B1430">
            <v>215.61</v>
          </cell>
        </row>
        <row r="1431">
          <cell r="A1431">
            <v>43662</v>
          </cell>
          <cell r="B1431">
            <v>217.26</v>
          </cell>
        </row>
        <row r="1432">
          <cell r="A1432">
            <v>43661</v>
          </cell>
          <cell r="B1432">
            <v>218.7</v>
          </cell>
        </row>
        <row r="1433">
          <cell r="A1433">
            <v>43658</v>
          </cell>
          <cell r="B1433">
            <v>218.23</v>
          </cell>
        </row>
        <row r="1434">
          <cell r="A1434">
            <v>43657</v>
          </cell>
          <cell r="B1434">
            <v>214.04</v>
          </cell>
        </row>
        <row r="1435">
          <cell r="A1435">
            <v>43656</v>
          </cell>
          <cell r="B1435">
            <v>210.75</v>
          </cell>
        </row>
        <row r="1436">
          <cell r="A1436">
            <v>43655</v>
          </cell>
          <cell r="B1436">
            <v>212</v>
          </cell>
        </row>
        <row r="1437">
          <cell r="A1437">
            <v>43654</v>
          </cell>
          <cell r="B1437">
            <v>212.91</v>
          </cell>
        </row>
        <row r="1438">
          <cell r="A1438">
            <v>43651</v>
          </cell>
          <cell r="B1438">
            <v>211.46</v>
          </cell>
        </row>
        <row r="1439">
          <cell r="A1439">
            <v>43649</v>
          </cell>
          <cell r="B1439">
            <v>212.1</v>
          </cell>
        </row>
        <row r="1440">
          <cell r="A1440">
            <v>43648</v>
          </cell>
          <cell r="B1440">
            <v>210.14</v>
          </cell>
        </row>
        <row r="1441">
          <cell r="A1441">
            <v>43647</v>
          </cell>
          <cell r="B1441">
            <v>210.28</v>
          </cell>
        </row>
        <row r="1442">
          <cell r="A1442">
            <v>43644</v>
          </cell>
          <cell r="B1442">
            <v>207.97</v>
          </cell>
        </row>
        <row r="1443">
          <cell r="A1443">
            <v>43643</v>
          </cell>
          <cell r="B1443">
            <v>207.02</v>
          </cell>
        </row>
        <row r="1444">
          <cell r="A1444">
            <v>43642</v>
          </cell>
          <cell r="B1444">
            <v>206.42</v>
          </cell>
        </row>
        <row r="1445">
          <cell r="A1445">
            <v>43641</v>
          </cell>
          <cell r="B1445">
            <v>204.74</v>
          </cell>
        </row>
        <row r="1446">
          <cell r="A1446">
            <v>43640</v>
          </cell>
          <cell r="B1446">
            <v>205.5</v>
          </cell>
        </row>
        <row r="1447">
          <cell r="A1447">
            <v>43637</v>
          </cell>
          <cell r="B1447">
            <v>209.39</v>
          </cell>
        </row>
        <row r="1448">
          <cell r="A1448">
            <v>43636</v>
          </cell>
          <cell r="B1448">
            <v>211.25</v>
          </cell>
        </row>
        <row r="1449">
          <cell r="A1449">
            <v>43635</v>
          </cell>
          <cell r="B1449">
            <v>207.94</v>
          </cell>
        </row>
        <row r="1450">
          <cell r="A1450">
            <v>43634</v>
          </cell>
          <cell r="B1450">
            <v>207.48</v>
          </cell>
        </row>
        <row r="1451">
          <cell r="A1451">
            <v>43633</v>
          </cell>
          <cell r="B1451">
            <v>206.98</v>
          </cell>
        </row>
        <row r="1452">
          <cell r="A1452">
            <v>43630</v>
          </cell>
          <cell r="B1452">
            <v>205.77</v>
          </cell>
        </row>
        <row r="1453">
          <cell r="A1453">
            <v>43629</v>
          </cell>
          <cell r="B1453">
            <v>202.35</v>
          </cell>
        </row>
        <row r="1454">
          <cell r="A1454">
            <v>43628</v>
          </cell>
          <cell r="B1454">
            <v>198.94</v>
          </cell>
        </row>
        <row r="1455">
          <cell r="A1455">
            <v>43627</v>
          </cell>
          <cell r="B1455">
            <v>198.01</v>
          </cell>
        </row>
        <row r="1456">
          <cell r="A1456">
            <v>43626</v>
          </cell>
          <cell r="B1456">
            <v>198.05</v>
          </cell>
        </row>
        <row r="1457">
          <cell r="A1457">
            <v>43623</v>
          </cell>
          <cell r="B1457">
            <v>197.3</v>
          </cell>
        </row>
        <row r="1458">
          <cell r="A1458">
            <v>43622</v>
          </cell>
          <cell r="B1458">
            <v>197.17</v>
          </cell>
        </row>
        <row r="1459">
          <cell r="A1459">
            <v>43621</v>
          </cell>
          <cell r="B1459">
            <v>196.69</v>
          </cell>
        </row>
        <row r="1460">
          <cell r="A1460">
            <v>43620</v>
          </cell>
          <cell r="B1460">
            <v>195.25</v>
          </cell>
        </row>
        <row r="1461">
          <cell r="A1461">
            <v>43619</v>
          </cell>
          <cell r="B1461">
            <v>189.57</v>
          </cell>
        </row>
        <row r="1462">
          <cell r="A1462">
            <v>43616</v>
          </cell>
          <cell r="B1462">
            <v>189.85</v>
          </cell>
        </row>
        <row r="1463">
          <cell r="A1463">
            <v>43615</v>
          </cell>
          <cell r="B1463">
            <v>191.08</v>
          </cell>
        </row>
        <row r="1464">
          <cell r="A1464">
            <v>43614</v>
          </cell>
          <cell r="B1464">
            <v>189.99</v>
          </cell>
        </row>
        <row r="1465">
          <cell r="A1465">
            <v>43613</v>
          </cell>
          <cell r="B1465">
            <v>191.55</v>
          </cell>
        </row>
        <row r="1466">
          <cell r="A1466">
            <v>43609</v>
          </cell>
          <cell r="B1466">
            <v>193.59</v>
          </cell>
        </row>
        <row r="1467">
          <cell r="A1467">
            <v>43608</v>
          </cell>
          <cell r="B1467">
            <v>192</v>
          </cell>
        </row>
        <row r="1468">
          <cell r="A1468">
            <v>43607</v>
          </cell>
          <cell r="B1468">
            <v>188.91</v>
          </cell>
        </row>
        <row r="1469">
          <cell r="A1469">
            <v>43606</v>
          </cell>
          <cell r="B1469">
            <v>191.45</v>
          </cell>
        </row>
        <row r="1470">
          <cell r="A1470">
            <v>43605</v>
          </cell>
          <cell r="B1470">
            <v>190.95</v>
          </cell>
        </row>
        <row r="1471">
          <cell r="A1471">
            <v>43602</v>
          </cell>
          <cell r="B1471">
            <v>192.58</v>
          </cell>
        </row>
        <row r="1472">
          <cell r="A1472">
            <v>43601</v>
          </cell>
          <cell r="B1472">
            <v>192.38</v>
          </cell>
        </row>
        <row r="1473">
          <cell r="A1473">
            <v>43600</v>
          </cell>
          <cell r="B1473">
            <v>191.76</v>
          </cell>
        </row>
        <row r="1474">
          <cell r="A1474">
            <v>43599</v>
          </cell>
          <cell r="B1474">
            <v>191.62</v>
          </cell>
        </row>
        <row r="1475">
          <cell r="A1475">
            <v>43598</v>
          </cell>
          <cell r="B1475">
            <v>190.34</v>
          </cell>
        </row>
        <row r="1476">
          <cell r="A1476">
            <v>43595</v>
          </cell>
          <cell r="B1476">
            <v>194.58</v>
          </cell>
        </row>
        <row r="1477">
          <cell r="A1477">
            <v>43594</v>
          </cell>
          <cell r="B1477">
            <v>194.58</v>
          </cell>
        </row>
        <row r="1478">
          <cell r="A1478">
            <v>43593</v>
          </cell>
          <cell r="B1478">
            <v>195.17</v>
          </cell>
        </row>
        <row r="1479">
          <cell r="A1479">
            <v>43592</v>
          </cell>
          <cell r="B1479">
            <v>194.77</v>
          </cell>
        </row>
        <row r="1480">
          <cell r="A1480">
            <v>43591</v>
          </cell>
          <cell r="B1480">
            <v>199.63</v>
          </cell>
        </row>
        <row r="1481">
          <cell r="A1481">
            <v>43588</v>
          </cell>
          <cell r="B1481">
            <v>200.56</v>
          </cell>
        </row>
        <row r="1482">
          <cell r="A1482">
            <v>43587</v>
          </cell>
          <cell r="B1482">
            <v>201.01</v>
          </cell>
        </row>
        <row r="1483">
          <cell r="A1483">
            <v>43586</v>
          </cell>
          <cell r="B1483">
            <v>198.8</v>
          </cell>
        </row>
        <row r="1484">
          <cell r="A1484">
            <v>43585</v>
          </cell>
          <cell r="B1484">
            <v>203.7</v>
          </cell>
        </row>
        <row r="1485">
          <cell r="A1485">
            <v>43584</v>
          </cell>
          <cell r="B1485">
            <v>202.16</v>
          </cell>
        </row>
        <row r="1486">
          <cell r="A1486">
            <v>43581</v>
          </cell>
          <cell r="B1486">
            <v>203.61</v>
          </cell>
        </row>
        <row r="1487">
          <cell r="A1487">
            <v>43580</v>
          </cell>
          <cell r="B1487">
            <v>206.5</v>
          </cell>
        </row>
        <row r="1488">
          <cell r="A1488">
            <v>43579</v>
          </cell>
          <cell r="B1488">
            <v>206.72</v>
          </cell>
        </row>
        <row r="1489">
          <cell r="A1489">
            <v>43578</v>
          </cell>
          <cell r="B1489">
            <v>206.05</v>
          </cell>
        </row>
        <row r="1490">
          <cell r="A1490">
            <v>43577</v>
          </cell>
          <cell r="B1490">
            <v>204.78</v>
          </cell>
        </row>
        <row r="1491">
          <cell r="A1491">
            <v>43573</v>
          </cell>
          <cell r="B1491">
            <v>205.66</v>
          </cell>
        </row>
        <row r="1492">
          <cell r="A1492">
            <v>43572</v>
          </cell>
          <cell r="B1492">
            <v>206.55</v>
          </cell>
        </row>
        <row r="1493">
          <cell r="A1493">
            <v>43571</v>
          </cell>
          <cell r="B1493">
            <v>204.47</v>
          </cell>
        </row>
        <row r="1494">
          <cell r="A1494">
            <v>43570</v>
          </cell>
          <cell r="B1494">
            <v>204.86</v>
          </cell>
        </row>
        <row r="1495">
          <cell r="A1495">
            <v>43567</v>
          </cell>
          <cell r="B1495">
            <v>203.85</v>
          </cell>
        </row>
        <row r="1496">
          <cell r="A1496">
            <v>43566</v>
          </cell>
          <cell r="B1496">
            <v>201.48</v>
          </cell>
        </row>
        <row r="1497">
          <cell r="A1497">
            <v>43565</v>
          </cell>
          <cell r="B1497">
            <v>199.43</v>
          </cell>
        </row>
        <row r="1498">
          <cell r="A1498">
            <v>43564</v>
          </cell>
          <cell r="B1498">
            <v>200.9</v>
          </cell>
        </row>
        <row r="1499">
          <cell r="A1499">
            <v>43563</v>
          </cell>
          <cell r="B1499">
            <v>203.55</v>
          </cell>
        </row>
        <row r="1500">
          <cell r="A1500">
            <v>43560</v>
          </cell>
          <cell r="B1500">
            <v>202.06</v>
          </cell>
        </row>
        <row r="1501">
          <cell r="A1501">
            <v>43559</v>
          </cell>
          <cell r="B1501">
            <v>200.45</v>
          </cell>
        </row>
        <row r="1502">
          <cell r="A1502">
            <v>43558</v>
          </cell>
          <cell r="B1502">
            <v>198.61</v>
          </cell>
        </row>
        <row r="1503">
          <cell r="A1503">
            <v>43557</v>
          </cell>
          <cell r="B1503">
            <v>194.31</v>
          </cell>
        </row>
        <row r="1504">
          <cell r="A1504">
            <v>43556</v>
          </cell>
          <cell r="B1504">
            <v>195.64</v>
          </cell>
        </row>
        <row r="1505">
          <cell r="A1505">
            <v>43553</v>
          </cell>
          <cell r="B1505">
            <v>191.89</v>
          </cell>
        </row>
        <row r="1506">
          <cell r="A1506">
            <v>43552</v>
          </cell>
          <cell r="B1506">
            <v>190.06</v>
          </cell>
        </row>
        <row r="1507">
          <cell r="A1507">
            <v>43551</v>
          </cell>
          <cell r="B1507">
            <v>189.25</v>
          </cell>
        </row>
        <row r="1508">
          <cell r="A1508">
            <v>43550</v>
          </cell>
          <cell r="B1508">
            <v>189.34</v>
          </cell>
        </row>
        <row r="1509">
          <cell r="A1509">
            <v>43549</v>
          </cell>
          <cell r="B1509">
            <v>189.68</v>
          </cell>
        </row>
        <row r="1510">
          <cell r="A1510">
            <v>43546</v>
          </cell>
          <cell r="B1510">
            <v>188.75</v>
          </cell>
        </row>
        <row r="1511">
          <cell r="A1511">
            <v>43545</v>
          </cell>
          <cell r="B1511">
            <v>189.97</v>
          </cell>
        </row>
        <row r="1512">
          <cell r="A1512">
            <v>43544</v>
          </cell>
          <cell r="B1512">
            <v>186.1</v>
          </cell>
        </row>
        <row r="1513">
          <cell r="A1513">
            <v>43543</v>
          </cell>
          <cell r="B1513">
            <v>184.13</v>
          </cell>
        </row>
        <row r="1514">
          <cell r="A1514">
            <v>43542</v>
          </cell>
          <cell r="B1514">
            <v>183.42</v>
          </cell>
        </row>
        <row r="1515">
          <cell r="A1515">
            <v>43539</v>
          </cell>
          <cell r="B1515">
            <v>182.23</v>
          </cell>
        </row>
        <row r="1516">
          <cell r="A1516">
            <v>43538</v>
          </cell>
          <cell r="B1516">
            <v>181.61</v>
          </cell>
        </row>
        <row r="1517">
          <cell r="A1517">
            <v>43537</v>
          </cell>
          <cell r="B1517">
            <v>181.14</v>
          </cell>
        </row>
        <row r="1518">
          <cell r="A1518">
            <v>43536</v>
          </cell>
          <cell r="B1518">
            <v>184</v>
          </cell>
        </row>
        <row r="1519">
          <cell r="A1519">
            <v>43535</v>
          </cell>
          <cell r="B1519">
            <v>182.44</v>
          </cell>
        </row>
        <row r="1520">
          <cell r="A1520">
            <v>43532</v>
          </cell>
          <cell r="B1520">
            <v>181.23</v>
          </cell>
        </row>
        <row r="1521">
          <cell r="A1521">
            <v>43531</v>
          </cell>
          <cell r="B1521">
            <v>182.51</v>
          </cell>
        </row>
        <row r="1522">
          <cell r="A1522">
            <v>43530</v>
          </cell>
          <cell r="B1522">
            <v>184.45</v>
          </cell>
        </row>
        <row r="1523">
          <cell r="A1523">
            <v>43529</v>
          </cell>
          <cell r="B1523">
            <v>184</v>
          </cell>
        </row>
        <row r="1524">
          <cell r="A1524">
            <v>43528</v>
          </cell>
          <cell r="B1524">
            <v>183.81</v>
          </cell>
        </row>
        <row r="1525">
          <cell r="A1525">
            <v>43525</v>
          </cell>
          <cell r="B1525">
            <v>185.17</v>
          </cell>
        </row>
        <row r="1526">
          <cell r="A1526">
            <v>43524</v>
          </cell>
          <cell r="B1526">
            <v>185.14</v>
          </cell>
        </row>
        <row r="1527">
          <cell r="A1527">
            <v>43523</v>
          </cell>
          <cell r="B1527">
            <v>183.67</v>
          </cell>
        </row>
        <row r="1528">
          <cell r="A1528">
            <v>43522</v>
          </cell>
          <cell r="B1528">
            <v>188.3</v>
          </cell>
        </row>
        <row r="1529">
          <cell r="A1529">
            <v>43521</v>
          </cell>
          <cell r="B1529">
            <v>189.98</v>
          </cell>
        </row>
        <row r="1530">
          <cell r="A1530">
            <v>43518</v>
          </cell>
          <cell r="B1530">
            <v>192.39</v>
          </cell>
        </row>
        <row r="1531">
          <cell r="A1531">
            <v>43517</v>
          </cell>
          <cell r="B1531">
            <v>191.82</v>
          </cell>
        </row>
        <row r="1532">
          <cell r="A1532">
            <v>43516</v>
          </cell>
          <cell r="B1532">
            <v>191.85</v>
          </cell>
        </row>
        <row r="1533">
          <cell r="A1533">
            <v>43515</v>
          </cell>
          <cell r="B1533">
            <v>192.33</v>
          </cell>
        </row>
        <row r="1534">
          <cell r="A1534">
            <v>43511</v>
          </cell>
          <cell r="B1534">
            <v>192.39</v>
          </cell>
        </row>
        <row r="1535">
          <cell r="A1535">
            <v>43510</v>
          </cell>
          <cell r="B1535">
            <v>187.71</v>
          </cell>
        </row>
        <row r="1536">
          <cell r="A1536">
            <v>43509</v>
          </cell>
          <cell r="B1536">
            <v>188.41</v>
          </cell>
        </row>
        <row r="1537">
          <cell r="A1537">
            <v>43508</v>
          </cell>
          <cell r="B1537">
            <v>185.52</v>
          </cell>
        </row>
        <row r="1538">
          <cell r="A1538">
            <v>43507</v>
          </cell>
          <cell r="B1538">
            <v>182.92</v>
          </cell>
        </row>
        <row r="1539">
          <cell r="A1539">
            <v>43504</v>
          </cell>
          <cell r="B1539">
            <v>184.54</v>
          </cell>
        </row>
        <row r="1540">
          <cell r="A1540">
            <v>43503</v>
          </cell>
          <cell r="B1540">
            <v>184.07</v>
          </cell>
        </row>
        <row r="1541">
          <cell r="A1541">
            <v>43502</v>
          </cell>
          <cell r="B1541">
            <v>184.72</v>
          </cell>
        </row>
        <row r="1542">
          <cell r="A1542">
            <v>43501</v>
          </cell>
          <cell r="B1542">
            <v>186.39</v>
          </cell>
        </row>
        <row r="1543">
          <cell r="A1543">
            <v>43500</v>
          </cell>
          <cell r="B1543">
            <v>186.43</v>
          </cell>
        </row>
        <row r="1544">
          <cell r="A1544">
            <v>43497</v>
          </cell>
          <cell r="B1544">
            <v>184.37</v>
          </cell>
        </row>
        <row r="1545">
          <cell r="A1545">
            <v>43496</v>
          </cell>
          <cell r="B1545">
            <v>183.53</v>
          </cell>
        </row>
        <row r="1546">
          <cell r="A1546">
            <v>43495</v>
          </cell>
          <cell r="B1546">
            <v>182.18</v>
          </cell>
        </row>
        <row r="1547">
          <cell r="A1547">
            <v>43494</v>
          </cell>
          <cell r="B1547">
            <v>179.69</v>
          </cell>
        </row>
        <row r="1548">
          <cell r="A1548">
            <v>43493</v>
          </cell>
          <cell r="B1548">
            <v>179.83</v>
          </cell>
        </row>
        <row r="1549">
          <cell r="A1549">
            <v>43490</v>
          </cell>
          <cell r="B1549">
            <v>180.4</v>
          </cell>
        </row>
        <row r="1550">
          <cell r="A1550">
            <v>43489</v>
          </cell>
          <cell r="B1550">
            <v>177.29</v>
          </cell>
        </row>
        <row r="1551">
          <cell r="A1551">
            <v>43488</v>
          </cell>
          <cell r="B1551">
            <v>176.89</v>
          </cell>
        </row>
        <row r="1552">
          <cell r="A1552">
            <v>43487</v>
          </cell>
          <cell r="B1552">
            <v>177.11</v>
          </cell>
        </row>
        <row r="1553">
          <cell r="A1553">
            <v>43483</v>
          </cell>
          <cell r="B1553">
            <v>179.58</v>
          </cell>
        </row>
        <row r="1554">
          <cell r="A1554">
            <v>43482</v>
          </cell>
          <cell r="B1554">
            <v>174.87</v>
          </cell>
        </row>
        <row r="1555">
          <cell r="A1555">
            <v>43481</v>
          </cell>
          <cell r="B1555">
            <v>177.04</v>
          </cell>
        </row>
        <row r="1556">
          <cell r="A1556">
            <v>43480</v>
          </cell>
          <cell r="B1556">
            <v>176.47</v>
          </cell>
        </row>
        <row r="1557">
          <cell r="A1557">
            <v>43479</v>
          </cell>
          <cell r="B1557">
            <v>178.81</v>
          </cell>
        </row>
        <row r="1558">
          <cell r="A1558">
            <v>43476</v>
          </cell>
          <cell r="B1558">
            <v>179.41</v>
          </cell>
        </row>
        <row r="1559">
          <cell r="A1559">
            <v>43475</v>
          </cell>
          <cell r="B1559">
            <v>179.06</v>
          </cell>
        </row>
        <row r="1560">
          <cell r="A1560">
            <v>43474</v>
          </cell>
          <cell r="B1560">
            <v>179.73</v>
          </cell>
        </row>
        <row r="1561">
          <cell r="A1561">
            <v>43473</v>
          </cell>
          <cell r="B1561">
            <v>177.89</v>
          </cell>
        </row>
        <row r="1562">
          <cell r="A1562">
            <v>43472</v>
          </cell>
          <cell r="B1562">
            <v>177.04</v>
          </cell>
        </row>
        <row r="1563">
          <cell r="A1563">
            <v>43469</v>
          </cell>
          <cell r="B1563">
            <v>173.62</v>
          </cell>
        </row>
        <row r="1564">
          <cell r="A1564">
            <v>43468</v>
          </cell>
          <cell r="B1564">
            <v>168.61</v>
          </cell>
        </row>
        <row r="1565">
          <cell r="A1565">
            <v>43467</v>
          </cell>
          <cell r="B1565">
            <v>172.41</v>
          </cell>
        </row>
        <row r="1566">
          <cell r="A1566">
            <v>43465</v>
          </cell>
          <cell r="B1566">
            <v>171.82</v>
          </cell>
        </row>
        <row r="1567">
          <cell r="A1567">
            <v>43462</v>
          </cell>
          <cell r="B1567">
            <v>170.22</v>
          </cell>
        </row>
        <row r="1568">
          <cell r="A1568">
            <v>43461</v>
          </cell>
          <cell r="B1568">
            <v>170.32</v>
          </cell>
        </row>
        <row r="1569">
          <cell r="A1569">
            <v>43460</v>
          </cell>
          <cell r="B1569">
            <v>168.28</v>
          </cell>
        </row>
        <row r="1570">
          <cell r="A1570">
            <v>43458</v>
          </cell>
          <cell r="B1570">
            <v>158.13999999999999</v>
          </cell>
        </row>
        <row r="1571">
          <cell r="A1571">
            <v>43455</v>
          </cell>
          <cell r="B1571">
            <v>160.47999999999999</v>
          </cell>
        </row>
        <row r="1572">
          <cell r="A1572">
            <v>43454</v>
          </cell>
          <cell r="B1572">
            <v>164.16</v>
          </cell>
        </row>
        <row r="1573">
          <cell r="A1573">
            <v>43453</v>
          </cell>
          <cell r="B1573">
            <v>167.56</v>
          </cell>
        </row>
        <row r="1574">
          <cell r="A1574">
            <v>43452</v>
          </cell>
          <cell r="B1574">
            <v>170.04</v>
          </cell>
        </row>
        <row r="1575">
          <cell r="A1575">
            <v>43451</v>
          </cell>
          <cell r="B1575">
            <v>167.97</v>
          </cell>
        </row>
        <row r="1576">
          <cell r="A1576">
            <v>43448</v>
          </cell>
          <cell r="B1576">
            <v>172.29</v>
          </cell>
        </row>
        <row r="1577">
          <cell r="A1577">
            <v>43447</v>
          </cell>
          <cell r="B1577">
            <v>173.87</v>
          </cell>
        </row>
        <row r="1578">
          <cell r="A1578">
            <v>43446</v>
          </cell>
          <cell r="B1578">
            <v>174.21</v>
          </cell>
        </row>
        <row r="1579">
          <cell r="A1579">
            <v>43445</v>
          </cell>
          <cell r="B1579">
            <v>172.21</v>
          </cell>
        </row>
        <row r="1580">
          <cell r="A1580">
            <v>43444</v>
          </cell>
          <cell r="B1580">
            <v>171.69</v>
          </cell>
        </row>
        <row r="1581">
          <cell r="A1581">
            <v>43441</v>
          </cell>
          <cell r="B1581">
            <v>172.79</v>
          </cell>
        </row>
        <row r="1582">
          <cell r="A1582">
            <v>43440</v>
          </cell>
          <cell r="B1582">
            <v>175.96</v>
          </cell>
        </row>
        <row r="1583">
          <cell r="A1583">
            <v>43438</v>
          </cell>
          <cell r="B1583">
            <v>175.3</v>
          </cell>
        </row>
        <row r="1584">
          <cell r="A1584">
            <v>43437</v>
          </cell>
          <cell r="B1584">
            <v>181.74</v>
          </cell>
        </row>
        <row r="1585">
          <cell r="A1585">
            <v>43434</v>
          </cell>
          <cell r="B1585">
            <v>180.32</v>
          </cell>
        </row>
        <row r="1586">
          <cell r="A1586">
            <v>43433</v>
          </cell>
          <cell r="B1586">
            <v>175.66</v>
          </cell>
        </row>
        <row r="1587">
          <cell r="A1587">
            <v>43432</v>
          </cell>
          <cell r="B1587">
            <v>177.43</v>
          </cell>
        </row>
        <row r="1588">
          <cell r="A1588">
            <v>43431</v>
          </cell>
          <cell r="B1588">
            <v>173.22</v>
          </cell>
        </row>
        <row r="1589">
          <cell r="A1589">
            <v>43430</v>
          </cell>
          <cell r="B1589">
            <v>169.82</v>
          </cell>
        </row>
        <row r="1590">
          <cell r="A1590">
            <v>43427</v>
          </cell>
          <cell r="B1590">
            <v>168.85</v>
          </cell>
        </row>
        <row r="1591">
          <cell r="A1591">
            <v>43425</v>
          </cell>
          <cell r="B1591">
            <v>169.3</v>
          </cell>
        </row>
        <row r="1592">
          <cell r="A1592">
            <v>43424</v>
          </cell>
          <cell r="B1592">
            <v>169.05</v>
          </cell>
        </row>
        <row r="1593">
          <cell r="A1593">
            <v>43423</v>
          </cell>
          <cell r="B1593">
            <v>173.59</v>
          </cell>
        </row>
        <row r="1594">
          <cell r="A1594">
            <v>43420</v>
          </cell>
          <cell r="B1594">
            <v>177.02</v>
          </cell>
        </row>
        <row r="1595">
          <cell r="A1595">
            <v>43419</v>
          </cell>
          <cell r="B1595">
            <v>177.36</v>
          </cell>
        </row>
        <row r="1596">
          <cell r="A1596">
            <v>43418</v>
          </cell>
          <cell r="B1596">
            <v>179.9</v>
          </cell>
        </row>
        <row r="1597">
          <cell r="A1597">
            <v>43417</v>
          </cell>
          <cell r="B1597">
            <v>179</v>
          </cell>
        </row>
        <row r="1598">
          <cell r="A1598">
            <v>43416</v>
          </cell>
          <cell r="B1598">
            <v>179.43</v>
          </cell>
        </row>
        <row r="1599">
          <cell r="A1599">
            <v>43413</v>
          </cell>
          <cell r="B1599">
            <v>185.99</v>
          </cell>
        </row>
        <row r="1600">
          <cell r="A1600">
            <v>43412</v>
          </cell>
          <cell r="B1600">
            <v>188</v>
          </cell>
        </row>
        <row r="1601">
          <cell r="A1601">
            <v>43411</v>
          </cell>
          <cell r="B1601">
            <v>187.23</v>
          </cell>
        </row>
        <row r="1602">
          <cell r="A1602">
            <v>43410</v>
          </cell>
          <cell r="B1602">
            <v>182.01</v>
          </cell>
        </row>
        <row r="1603">
          <cell r="A1603">
            <v>43409</v>
          </cell>
          <cell r="B1603">
            <v>182.19</v>
          </cell>
        </row>
        <row r="1604">
          <cell r="A1604">
            <v>43406</v>
          </cell>
          <cell r="B1604">
            <v>179.93</v>
          </cell>
        </row>
        <row r="1605">
          <cell r="A1605">
            <v>43405</v>
          </cell>
          <cell r="B1605">
            <v>180.46</v>
          </cell>
        </row>
        <row r="1606">
          <cell r="A1606">
            <v>43404</v>
          </cell>
          <cell r="B1606">
            <v>175.88</v>
          </cell>
        </row>
        <row r="1607">
          <cell r="A1607">
            <v>43403</v>
          </cell>
          <cell r="B1607">
            <v>176.24</v>
          </cell>
        </row>
        <row r="1608">
          <cell r="A1608">
            <v>43402</v>
          </cell>
          <cell r="B1608">
            <v>173.2</v>
          </cell>
        </row>
        <row r="1609">
          <cell r="A1609">
            <v>43399</v>
          </cell>
          <cell r="B1609">
            <v>172.23</v>
          </cell>
        </row>
        <row r="1610">
          <cell r="A1610">
            <v>43398</v>
          </cell>
          <cell r="B1610">
            <v>179.07</v>
          </cell>
        </row>
        <row r="1611">
          <cell r="A1611">
            <v>43397</v>
          </cell>
          <cell r="B1611">
            <v>176.97</v>
          </cell>
        </row>
        <row r="1612">
          <cell r="A1612">
            <v>43396</v>
          </cell>
          <cell r="B1612">
            <v>178.53</v>
          </cell>
        </row>
        <row r="1613">
          <cell r="A1613">
            <v>43395</v>
          </cell>
          <cell r="B1613">
            <v>178.75</v>
          </cell>
        </row>
        <row r="1614">
          <cell r="A1614">
            <v>43392</v>
          </cell>
          <cell r="B1614">
            <v>179.85</v>
          </cell>
        </row>
        <row r="1615">
          <cell r="A1615">
            <v>43391</v>
          </cell>
          <cell r="B1615">
            <v>180.44</v>
          </cell>
        </row>
        <row r="1616">
          <cell r="A1616">
            <v>43390</v>
          </cell>
          <cell r="B1616">
            <v>185.17</v>
          </cell>
        </row>
        <row r="1617">
          <cell r="A1617">
            <v>43389</v>
          </cell>
          <cell r="B1617">
            <v>193.58</v>
          </cell>
        </row>
        <row r="1618">
          <cell r="A1618">
            <v>43388</v>
          </cell>
          <cell r="B1618">
            <v>191.17</v>
          </cell>
        </row>
        <row r="1619">
          <cell r="A1619">
            <v>43385</v>
          </cell>
          <cell r="B1619">
            <v>192.47</v>
          </cell>
        </row>
        <row r="1620">
          <cell r="A1620">
            <v>43384</v>
          </cell>
          <cell r="B1620">
            <v>189.74</v>
          </cell>
        </row>
        <row r="1621">
          <cell r="A1621">
            <v>43383</v>
          </cell>
          <cell r="B1621">
            <v>193.7</v>
          </cell>
        </row>
        <row r="1622">
          <cell r="A1622">
            <v>43382</v>
          </cell>
          <cell r="B1622">
            <v>195.75</v>
          </cell>
        </row>
        <row r="1623">
          <cell r="A1623">
            <v>43381</v>
          </cell>
          <cell r="B1623">
            <v>198.41</v>
          </cell>
        </row>
        <row r="1624">
          <cell r="A1624">
            <v>43378</v>
          </cell>
          <cell r="B1624">
            <v>196.38</v>
          </cell>
        </row>
        <row r="1625">
          <cell r="A1625">
            <v>43377</v>
          </cell>
          <cell r="B1625">
            <v>198.85</v>
          </cell>
        </row>
        <row r="1626">
          <cell r="A1626">
            <v>43376</v>
          </cell>
          <cell r="B1626">
            <v>203.74</v>
          </cell>
        </row>
        <row r="1627">
          <cell r="A1627">
            <v>43375</v>
          </cell>
          <cell r="B1627">
            <v>204.75</v>
          </cell>
        </row>
        <row r="1628">
          <cell r="A1628">
            <v>43374</v>
          </cell>
          <cell r="B1628">
            <v>207.6</v>
          </cell>
        </row>
        <row r="1629">
          <cell r="A1629">
            <v>43371</v>
          </cell>
          <cell r="B1629">
            <v>207.15</v>
          </cell>
        </row>
        <row r="1630">
          <cell r="A1630">
            <v>43370</v>
          </cell>
          <cell r="B1630">
            <v>206.84</v>
          </cell>
        </row>
        <row r="1631">
          <cell r="A1631">
            <v>43369</v>
          </cell>
          <cell r="B1631">
            <v>207.52</v>
          </cell>
        </row>
        <row r="1632">
          <cell r="A1632">
            <v>43368</v>
          </cell>
          <cell r="B1632">
            <v>207.46</v>
          </cell>
        </row>
        <row r="1633">
          <cell r="A1633">
            <v>43367</v>
          </cell>
          <cell r="B1633">
            <v>207.99</v>
          </cell>
        </row>
        <row r="1634">
          <cell r="A1634">
            <v>43364</v>
          </cell>
          <cell r="B1634">
            <v>212.39</v>
          </cell>
        </row>
        <row r="1635">
          <cell r="A1635">
            <v>43363</v>
          </cell>
          <cell r="B1635">
            <v>211.06</v>
          </cell>
        </row>
        <row r="1636">
          <cell r="A1636">
            <v>43362</v>
          </cell>
          <cell r="B1636">
            <v>211.68</v>
          </cell>
        </row>
        <row r="1637">
          <cell r="A1637">
            <v>43361</v>
          </cell>
          <cell r="B1637">
            <v>211.02</v>
          </cell>
        </row>
        <row r="1638">
          <cell r="A1638">
            <v>43360</v>
          </cell>
          <cell r="B1638">
            <v>208.4</v>
          </cell>
        </row>
        <row r="1639">
          <cell r="A1639">
            <v>43357</v>
          </cell>
          <cell r="B1639">
            <v>209.07</v>
          </cell>
        </row>
        <row r="1640">
          <cell r="A1640">
            <v>43356</v>
          </cell>
          <cell r="B1640">
            <v>209.45</v>
          </cell>
        </row>
        <row r="1641">
          <cell r="A1641">
            <v>43355</v>
          </cell>
          <cell r="B1641">
            <v>211.98</v>
          </cell>
        </row>
        <row r="1642">
          <cell r="A1642">
            <v>43354</v>
          </cell>
          <cell r="B1642">
            <v>213.85</v>
          </cell>
        </row>
        <row r="1643">
          <cell r="A1643">
            <v>43353</v>
          </cell>
          <cell r="B1643">
            <v>210.69</v>
          </cell>
        </row>
        <row r="1644">
          <cell r="A1644">
            <v>43350</v>
          </cell>
          <cell r="B1644">
            <v>206.23</v>
          </cell>
        </row>
        <row r="1645">
          <cell r="A1645">
            <v>43349</v>
          </cell>
          <cell r="B1645">
            <v>205.89</v>
          </cell>
        </row>
        <row r="1646">
          <cell r="A1646">
            <v>43348</v>
          </cell>
          <cell r="B1646">
            <v>204.15</v>
          </cell>
        </row>
        <row r="1647">
          <cell r="A1647">
            <v>43347</v>
          </cell>
          <cell r="B1647">
            <v>205.08</v>
          </cell>
        </row>
        <row r="1648">
          <cell r="A1648">
            <v>43343</v>
          </cell>
          <cell r="B1648">
            <v>200.77</v>
          </cell>
        </row>
        <row r="1649">
          <cell r="A1649">
            <v>43342</v>
          </cell>
          <cell r="B1649">
            <v>199.26</v>
          </cell>
        </row>
        <row r="1650">
          <cell r="A1650">
            <v>43341</v>
          </cell>
          <cell r="B1650">
            <v>201.68</v>
          </cell>
        </row>
        <row r="1651">
          <cell r="A1651">
            <v>43340</v>
          </cell>
          <cell r="B1651">
            <v>201.97</v>
          </cell>
        </row>
        <row r="1652">
          <cell r="A1652">
            <v>43339</v>
          </cell>
          <cell r="B1652">
            <v>201.98</v>
          </cell>
        </row>
        <row r="1653">
          <cell r="A1653">
            <v>43336</v>
          </cell>
          <cell r="B1653">
            <v>201.3</v>
          </cell>
        </row>
        <row r="1654">
          <cell r="A1654">
            <v>43335</v>
          </cell>
          <cell r="B1654">
            <v>200.16</v>
          </cell>
        </row>
        <row r="1655">
          <cell r="A1655">
            <v>43334</v>
          </cell>
          <cell r="B1655">
            <v>198.97</v>
          </cell>
        </row>
        <row r="1656">
          <cell r="A1656">
            <v>43333</v>
          </cell>
          <cell r="B1656">
            <v>200.23</v>
          </cell>
        </row>
        <row r="1657">
          <cell r="A1657">
            <v>43332</v>
          </cell>
          <cell r="B1657">
            <v>197.93</v>
          </cell>
        </row>
        <row r="1658">
          <cell r="A1658">
            <v>43329</v>
          </cell>
          <cell r="B1658">
            <v>195.56</v>
          </cell>
        </row>
        <row r="1659">
          <cell r="A1659">
            <v>43328</v>
          </cell>
          <cell r="B1659">
            <v>195.39</v>
          </cell>
        </row>
        <row r="1660">
          <cell r="A1660">
            <v>43327</v>
          </cell>
          <cell r="B1660">
            <v>193.99</v>
          </cell>
        </row>
        <row r="1661">
          <cell r="A1661">
            <v>43326</v>
          </cell>
          <cell r="B1661">
            <v>193.1</v>
          </cell>
        </row>
        <row r="1662">
          <cell r="A1662">
            <v>43325</v>
          </cell>
          <cell r="B1662">
            <v>194.14</v>
          </cell>
        </row>
        <row r="1663">
          <cell r="A1663">
            <v>43322</v>
          </cell>
          <cell r="B1663">
            <v>196.3</v>
          </cell>
        </row>
        <row r="1664">
          <cell r="A1664">
            <v>43321</v>
          </cell>
          <cell r="B1664">
            <v>198.08</v>
          </cell>
        </row>
        <row r="1665">
          <cell r="A1665">
            <v>43320</v>
          </cell>
          <cell r="B1665">
            <v>198.02</v>
          </cell>
        </row>
        <row r="1666">
          <cell r="A1666">
            <v>43319</v>
          </cell>
          <cell r="B1666">
            <v>197.05</v>
          </cell>
        </row>
        <row r="1667">
          <cell r="A1667">
            <v>43318</v>
          </cell>
          <cell r="B1667">
            <v>195.69</v>
          </cell>
        </row>
        <row r="1668">
          <cell r="A1668">
            <v>43315</v>
          </cell>
          <cell r="B1668">
            <v>195.64</v>
          </cell>
        </row>
        <row r="1669">
          <cell r="A1669">
            <v>43314</v>
          </cell>
          <cell r="B1669">
            <v>195.66</v>
          </cell>
        </row>
        <row r="1670">
          <cell r="A1670">
            <v>43313</v>
          </cell>
          <cell r="B1670">
            <v>196.3</v>
          </cell>
        </row>
        <row r="1671">
          <cell r="A1671">
            <v>43312</v>
          </cell>
          <cell r="B1671">
            <v>197.52</v>
          </cell>
        </row>
        <row r="1672">
          <cell r="A1672">
            <v>43311</v>
          </cell>
          <cell r="B1672">
            <v>197.28</v>
          </cell>
        </row>
        <row r="1673">
          <cell r="A1673">
            <v>43308</v>
          </cell>
          <cell r="B1673">
            <v>197.14</v>
          </cell>
        </row>
        <row r="1674">
          <cell r="A1674">
            <v>43307</v>
          </cell>
          <cell r="B1674">
            <v>199.4</v>
          </cell>
        </row>
        <row r="1675">
          <cell r="A1675">
            <v>43306</v>
          </cell>
          <cell r="B1675">
            <v>201</v>
          </cell>
        </row>
        <row r="1676">
          <cell r="A1676">
            <v>43305</v>
          </cell>
          <cell r="B1676">
            <v>201.99</v>
          </cell>
        </row>
        <row r="1677">
          <cell r="A1677">
            <v>43304</v>
          </cell>
          <cell r="B1677">
            <v>202.23</v>
          </cell>
        </row>
        <row r="1678">
          <cell r="A1678">
            <v>43301</v>
          </cell>
          <cell r="B1678">
            <v>202.45</v>
          </cell>
        </row>
        <row r="1679">
          <cell r="A1679">
            <v>43300</v>
          </cell>
          <cell r="B1679">
            <v>202.63</v>
          </cell>
        </row>
        <row r="1680">
          <cell r="A1680">
            <v>43299</v>
          </cell>
          <cell r="B1680">
            <v>200.97</v>
          </cell>
        </row>
        <row r="1681">
          <cell r="A1681">
            <v>43298</v>
          </cell>
          <cell r="B1681">
            <v>201.1</v>
          </cell>
        </row>
        <row r="1682">
          <cell r="A1682">
            <v>43297</v>
          </cell>
          <cell r="B1682">
            <v>198.88</v>
          </cell>
        </row>
        <row r="1683">
          <cell r="A1683">
            <v>43294</v>
          </cell>
          <cell r="B1683">
            <v>198.69</v>
          </cell>
        </row>
        <row r="1684">
          <cell r="A1684">
            <v>43293</v>
          </cell>
          <cell r="B1684">
            <v>197.95</v>
          </cell>
        </row>
        <row r="1685">
          <cell r="A1685">
            <v>43292</v>
          </cell>
          <cell r="B1685">
            <v>196.95</v>
          </cell>
        </row>
        <row r="1686">
          <cell r="A1686">
            <v>43291</v>
          </cell>
          <cell r="B1686">
            <v>197.61</v>
          </cell>
        </row>
        <row r="1687">
          <cell r="A1687">
            <v>43290</v>
          </cell>
          <cell r="B1687">
            <v>196.08</v>
          </cell>
        </row>
        <row r="1688">
          <cell r="A1688">
            <v>43287</v>
          </cell>
          <cell r="B1688">
            <v>194.48</v>
          </cell>
        </row>
        <row r="1689">
          <cell r="A1689">
            <v>43286</v>
          </cell>
          <cell r="B1689">
            <v>194.41</v>
          </cell>
        </row>
        <row r="1690">
          <cell r="A1690">
            <v>43284</v>
          </cell>
          <cell r="B1690">
            <v>193.62</v>
          </cell>
        </row>
        <row r="1691">
          <cell r="A1691">
            <v>43283</v>
          </cell>
          <cell r="B1691">
            <v>194.02</v>
          </cell>
        </row>
        <row r="1692">
          <cell r="A1692">
            <v>43280</v>
          </cell>
          <cell r="B1692">
            <v>195.1</v>
          </cell>
        </row>
        <row r="1693">
          <cell r="A1693">
            <v>43279</v>
          </cell>
          <cell r="B1693">
            <v>195.21</v>
          </cell>
        </row>
        <row r="1694">
          <cell r="A1694">
            <v>43278</v>
          </cell>
          <cell r="B1694">
            <v>195.02</v>
          </cell>
        </row>
        <row r="1695">
          <cell r="A1695">
            <v>43277</v>
          </cell>
          <cell r="B1695">
            <v>196.36</v>
          </cell>
        </row>
        <row r="1696">
          <cell r="A1696">
            <v>43276</v>
          </cell>
          <cell r="B1696">
            <v>196.38</v>
          </cell>
        </row>
        <row r="1697">
          <cell r="A1697">
            <v>43273</v>
          </cell>
          <cell r="B1697">
            <v>197.41</v>
          </cell>
        </row>
        <row r="1698">
          <cell r="A1698">
            <v>43272</v>
          </cell>
          <cell r="B1698">
            <v>200.31</v>
          </cell>
        </row>
        <row r="1699">
          <cell r="A1699">
            <v>43271</v>
          </cell>
          <cell r="B1699">
            <v>199.08</v>
          </cell>
        </row>
        <row r="1700">
          <cell r="A1700">
            <v>43270</v>
          </cell>
          <cell r="B1700">
            <v>199.21</v>
          </cell>
        </row>
        <row r="1701">
          <cell r="A1701">
            <v>43269</v>
          </cell>
          <cell r="B1701">
            <v>200.69</v>
          </cell>
        </row>
        <row r="1702">
          <cell r="A1702">
            <v>43266</v>
          </cell>
          <cell r="B1702">
            <v>200.54</v>
          </cell>
        </row>
        <row r="1703">
          <cell r="A1703">
            <v>43265</v>
          </cell>
          <cell r="B1703">
            <v>199.67</v>
          </cell>
        </row>
        <row r="1704">
          <cell r="A1704">
            <v>43264</v>
          </cell>
          <cell r="B1704">
            <v>200.31</v>
          </cell>
        </row>
        <row r="1705">
          <cell r="A1705">
            <v>43263</v>
          </cell>
          <cell r="B1705">
            <v>201.31</v>
          </cell>
        </row>
        <row r="1706">
          <cell r="A1706">
            <v>43262</v>
          </cell>
          <cell r="B1706">
            <v>199.64</v>
          </cell>
        </row>
        <row r="1707">
          <cell r="A1707">
            <v>43259</v>
          </cell>
          <cell r="B1707">
            <v>198.33</v>
          </cell>
        </row>
        <row r="1708">
          <cell r="A1708">
            <v>43258</v>
          </cell>
          <cell r="B1708">
            <v>196.17</v>
          </cell>
        </row>
        <row r="1709">
          <cell r="A1709">
            <v>43257</v>
          </cell>
          <cell r="B1709">
            <v>193.59</v>
          </cell>
        </row>
        <row r="1710">
          <cell r="A1710">
            <v>43256</v>
          </cell>
          <cell r="B1710">
            <v>191.94</v>
          </cell>
        </row>
        <row r="1711">
          <cell r="A1711">
            <v>43255</v>
          </cell>
          <cell r="B1711">
            <v>191.36</v>
          </cell>
        </row>
        <row r="1712">
          <cell r="A1712">
            <v>43252</v>
          </cell>
          <cell r="B1712">
            <v>187.35</v>
          </cell>
        </row>
        <row r="1713">
          <cell r="A1713">
            <v>43251</v>
          </cell>
          <cell r="B1713">
            <v>186.55</v>
          </cell>
        </row>
        <row r="1714">
          <cell r="A1714">
            <v>43250</v>
          </cell>
          <cell r="B1714">
            <v>187.09</v>
          </cell>
        </row>
        <row r="1715">
          <cell r="A1715">
            <v>43249</v>
          </cell>
          <cell r="B1715">
            <v>185</v>
          </cell>
        </row>
        <row r="1716">
          <cell r="A1716">
            <v>43245</v>
          </cell>
          <cell r="B1716">
            <v>186.85</v>
          </cell>
        </row>
        <row r="1717">
          <cell r="A1717">
            <v>43244</v>
          </cell>
          <cell r="B1717">
            <v>187.15</v>
          </cell>
        </row>
        <row r="1718">
          <cell r="A1718">
            <v>43243</v>
          </cell>
          <cell r="B1718">
            <v>186.67</v>
          </cell>
        </row>
        <row r="1719">
          <cell r="A1719">
            <v>43242</v>
          </cell>
          <cell r="B1719">
            <v>186.87</v>
          </cell>
        </row>
        <row r="1720">
          <cell r="A1720">
            <v>43241</v>
          </cell>
          <cell r="B1720">
            <v>189.79</v>
          </cell>
        </row>
        <row r="1721">
          <cell r="A1721">
            <v>43238</v>
          </cell>
          <cell r="B1721">
            <v>187.42</v>
          </cell>
        </row>
        <row r="1722">
          <cell r="A1722">
            <v>43237</v>
          </cell>
          <cell r="B1722">
            <v>185.33</v>
          </cell>
        </row>
        <row r="1723">
          <cell r="A1723">
            <v>43236</v>
          </cell>
          <cell r="B1723">
            <v>186.38</v>
          </cell>
        </row>
        <row r="1724">
          <cell r="A1724">
            <v>43235</v>
          </cell>
          <cell r="B1724">
            <v>187.98</v>
          </cell>
        </row>
        <row r="1725">
          <cell r="A1725">
            <v>43234</v>
          </cell>
          <cell r="B1725">
            <v>191.08</v>
          </cell>
        </row>
        <row r="1726">
          <cell r="A1726">
            <v>43231</v>
          </cell>
          <cell r="B1726">
            <v>190.31</v>
          </cell>
        </row>
        <row r="1727">
          <cell r="A1727">
            <v>43230</v>
          </cell>
          <cell r="B1727">
            <v>187.16</v>
          </cell>
        </row>
        <row r="1728">
          <cell r="A1728">
            <v>43229</v>
          </cell>
          <cell r="B1728">
            <v>186.36</v>
          </cell>
        </row>
        <row r="1729">
          <cell r="A1729">
            <v>43228</v>
          </cell>
          <cell r="B1729">
            <v>185.04</v>
          </cell>
        </row>
        <row r="1730">
          <cell r="A1730">
            <v>43227</v>
          </cell>
          <cell r="B1730">
            <v>183.56</v>
          </cell>
        </row>
        <row r="1731">
          <cell r="A1731">
            <v>43224</v>
          </cell>
          <cell r="B1731">
            <v>185.03</v>
          </cell>
        </row>
        <row r="1732">
          <cell r="A1732">
            <v>43223</v>
          </cell>
          <cell r="B1732">
            <v>183.19</v>
          </cell>
        </row>
        <row r="1733">
          <cell r="A1733">
            <v>43222</v>
          </cell>
          <cell r="B1733">
            <v>185.91</v>
          </cell>
        </row>
        <row r="1734">
          <cell r="A1734">
            <v>43221</v>
          </cell>
          <cell r="B1734">
            <v>184.63</v>
          </cell>
        </row>
        <row r="1735">
          <cell r="A1735">
            <v>43220</v>
          </cell>
          <cell r="B1735">
            <v>184.8</v>
          </cell>
        </row>
        <row r="1736">
          <cell r="A1736">
            <v>43217</v>
          </cell>
          <cell r="B1736">
            <v>186.46</v>
          </cell>
        </row>
        <row r="1737">
          <cell r="A1737">
            <v>43216</v>
          </cell>
          <cell r="B1737">
            <v>185.72</v>
          </cell>
        </row>
        <row r="1738">
          <cell r="A1738">
            <v>43215</v>
          </cell>
          <cell r="B1738">
            <v>177.39</v>
          </cell>
        </row>
        <row r="1739">
          <cell r="A1739">
            <v>43214</v>
          </cell>
          <cell r="B1739">
            <v>176.26</v>
          </cell>
        </row>
        <row r="1740">
          <cell r="A1740">
            <v>43213</v>
          </cell>
          <cell r="B1740">
            <v>177.66</v>
          </cell>
        </row>
        <row r="1741">
          <cell r="A1741">
            <v>43210</v>
          </cell>
          <cell r="B1741">
            <v>177.01</v>
          </cell>
        </row>
        <row r="1742">
          <cell r="A1742">
            <v>43209</v>
          </cell>
          <cell r="B1742">
            <v>177.08</v>
          </cell>
        </row>
        <row r="1743">
          <cell r="A1743">
            <v>43208</v>
          </cell>
          <cell r="B1743">
            <v>179.85</v>
          </cell>
        </row>
        <row r="1744">
          <cell r="A1744">
            <v>43207</v>
          </cell>
          <cell r="B1744">
            <v>174.91</v>
          </cell>
        </row>
        <row r="1745">
          <cell r="A1745">
            <v>43206</v>
          </cell>
          <cell r="B1745">
            <v>174.43</v>
          </cell>
        </row>
        <row r="1746">
          <cell r="A1746">
            <v>43203</v>
          </cell>
          <cell r="B1746">
            <v>172.8</v>
          </cell>
        </row>
        <row r="1747">
          <cell r="A1747">
            <v>43202</v>
          </cell>
          <cell r="B1747">
            <v>173.36</v>
          </cell>
        </row>
        <row r="1748">
          <cell r="A1748">
            <v>43201</v>
          </cell>
          <cell r="B1748">
            <v>172.86</v>
          </cell>
        </row>
        <row r="1749">
          <cell r="A1749">
            <v>43200</v>
          </cell>
          <cell r="B1749">
            <v>173.49</v>
          </cell>
        </row>
        <row r="1750">
          <cell r="A1750">
            <v>43199</v>
          </cell>
          <cell r="B1750">
            <v>172.51</v>
          </cell>
        </row>
        <row r="1751">
          <cell r="A1751">
            <v>43196</v>
          </cell>
          <cell r="B1751">
            <v>174.45</v>
          </cell>
        </row>
        <row r="1752">
          <cell r="A1752">
            <v>43195</v>
          </cell>
          <cell r="B1752">
            <v>179.13</v>
          </cell>
        </row>
        <row r="1753">
          <cell r="A1753">
            <v>43194</v>
          </cell>
          <cell r="B1753">
            <v>177.44</v>
          </cell>
        </row>
        <row r="1754">
          <cell r="A1754">
            <v>43193</v>
          </cell>
          <cell r="B1754">
            <v>173.76</v>
          </cell>
        </row>
        <row r="1755">
          <cell r="A1755">
            <v>43192</v>
          </cell>
          <cell r="B1755">
            <v>172.9</v>
          </cell>
        </row>
        <row r="1756">
          <cell r="A1756">
            <v>43188</v>
          </cell>
          <cell r="B1756">
            <v>178.24</v>
          </cell>
        </row>
        <row r="1757">
          <cell r="A1757">
            <v>43187</v>
          </cell>
          <cell r="B1757">
            <v>174.76</v>
          </cell>
        </row>
        <row r="1758">
          <cell r="A1758">
            <v>43186</v>
          </cell>
          <cell r="B1758">
            <v>174.68</v>
          </cell>
        </row>
        <row r="1759">
          <cell r="A1759">
            <v>43185</v>
          </cell>
          <cell r="B1759">
            <v>176.38</v>
          </cell>
        </row>
        <row r="1760">
          <cell r="A1760">
            <v>43182</v>
          </cell>
          <cell r="B1760">
            <v>171.8</v>
          </cell>
        </row>
        <row r="1761">
          <cell r="A1761">
            <v>43181</v>
          </cell>
          <cell r="B1761">
            <v>175.29</v>
          </cell>
        </row>
        <row r="1762">
          <cell r="A1762">
            <v>43180</v>
          </cell>
          <cell r="B1762">
            <v>178.02</v>
          </cell>
        </row>
        <row r="1763">
          <cell r="A1763">
            <v>43179</v>
          </cell>
          <cell r="B1763">
            <v>178.16</v>
          </cell>
        </row>
        <row r="1764">
          <cell r="A1764">
            <v>43178</v>
          </cell>
          <cell r="B1764">
            <v>177.1</v>
          </cell>
        </row>
        <row r="1765">
          <cell r="A1765">
            <v>43175</v>
          </cell>
          <cell r="B1765">
            <v>178.96</v>
          </cell>
        </row>
        <row r="1766">
          <cell r="A1766">
            <v>43174</v>
          </cell>
          <cell r="B1766">
            <v>178.07</v>
          </cell>
        </row>
        <row r="1767">
          <cell r="A1767">
            <v>43173</v>
          </cell>
          <cell r="B1767">
            <v>177.41</v>
          </cell>
        </row>
        <row r="1768">
          <cell r="A1768">
            <v>43172</v>
          </cell>
          <cell r="B1768">
            <v>178.35</v>
          </cell>
        </row>
      </sheetData>
      <sheetData sheetId="1">
        <row r="8">
          <cell r="A8">
            <v>45729</v>
          </cell>
          <cell r="B8">
            <v>5521.52</v>
          </cell>
        </row>
        <row r="9">
          <cell r="A9">
            <v>45728</v>
          </cell>
          <cell r="B9">
            <v>5599.3</v>
          </cell>
        </row>
        <row r="10">
          <cell r="A10">
            <v>45727</v>
          </cell>
          <cell r="B10">
            <v>5572.07</v>
          </cell>
        </row>
        <row r="11">
          <cell r="A11">
            <v>45726</v>
          </cell>
          <cell r="B11">
            <v>5614.56</v>
          </cell>
        </row>
        <row r="12">
          <cell r="A12">
            <v>45723</v>
          </cell>
          <cell r="B12">
            <v>5770.2</v>
          </cell>
        </row>
        <row r="13">
          <cell r="A13">
            <v>45722</v>
          </cell>
          <cell r="B13">
            <v>5738.52</v>
          </cell>
        </row>
        <row r="14">
          <cell r="A14">
            <v>45721</v>
          </cell>
          <cell r="B14">
            <v>5842.63</v>
          </cell>
        </row>
        <row r="15">
          <cell r="A15">
            <v>45720</v>
          </cell>
          <cell r="B15">
            <v>5778.15</v>
          </cell>
        </row>
        <row r="16">
          <cell r="A16">
            <v>45719</v>
          </cell>
          <cell r="B16">
            <v>5849.72</v>
          </cell>
        </row>
        <row r="17">
          <cell r="A17">
            <v>45716</v>
          </cell>
          <cell r="B17">
            <v>5954.5</v>
          </cell>
        </row>
        <row r="18">
          <cell r="A18">
            <v>45715</v>
          </cell>
          <cell r="B18">
            <v>5861.57</v>
          </cell>
        </row>
        <row r="19">
          <cell r="A19">
            <v>45714</v>
          </cell>
          <cell r="B19">
            <v>5956.06</v>
          </cell>
        </row>
        <row r="20">
          <cell r="A20">
            <v>45713</v>
          </cell>
          <cell r="B20">
            <v>5955.25</v>
          </cell>
        </row>
        <row r="21">
          <cell r="A21">
            <v>45712</v>
          </cell>
          <cell r="B21">
            <v>5983.25</v>
          </cell>
        </row>
        <row r="22">
          <cell r="A22">
            <v>45709</v>
          </cell>
          <cell r="B22">
            <v>6013.13</v>
          </cell>
        </row>
        <row r="23">
          <cell r="A23">
            <v>45708</v>
          </cell>
          <cell r="B23">
            <v>6117.52</v>
          </cell>
        </row>
        <row r="24">
          <cell r="A24">
            <v>45707</v>
          </cell>
          <cell r="B24">
            <v>6144.15</v>
          </cell>
        </row>
        <row r="25">
          <cell r="A25">
            <v>45706</v>
          </cell>
          <cell r="B25">
            <v>6129.58</v>
          </cell>
        </row>
        <row r="26">
          <cell r="A26">
            <v>45702</v>
          </cell>
          <cell r="B26">
            <v>6114.63</v>
          </cell>
        </row>
        <row r="27">
          <cell r="A27">
            <v>45701</v>
          </cell>
          <cell r="B27">
            <v>6115.07</v>
          </cell>
        </row>
        <row r="28">
          <cell r="A28">
            <v>45700</v>
          </cell>
          <cell r="B28">
            <v>6051.97</v>
          </cell>
        </row>
        <row r="29">
          <cell r="A29">
            <v>45699</v>
          </cell>
          <cell r="B29">
            <v>6068.5</v>
          </cell>
        </row>
        <row r="30">
          <cell r="A30">
            <v>45698</v>
          </cell>
          <cell r="B30">
            <v>6066.44</v>
          </cell>
        </row>
        <row r="31">
          <cell r="A31">
            <v>45695</v>
          </cell>
          <cell r="B31">
            <v>6025.99</v>
          </cell>
        </row>
        <row r="32">
          <cell r="A32">
            <v>45694</v>
          </cell>
          <cell r="B32">
            <v>6083.57</v>
          </cell>
        </row>
        <row r="33">
          <cell r="A33">
            <v>45693</v>
          </cell>
          <cell r="B33">
            <v>6061.48</v>
          </cell>
        </row>
        <row r="34">
          <cell r="A34">
            <v>45692</v>
          </cell>
          <cell r="B34">
            <v>6037.88</v>
          </cell>
        </row>
        <row r="35">
          <cell r="A35">
            <v>45691</v>
          </cell>
          <cell r="B35">
            <v>5994.57</v>
          </cell>
        </row>
        <row r="36">
          <cell r="A36">
            <v>45688</v>
          </cell>
          <cell r="B36">
            <v>6040.53</v>
          </cell>
        </row>
        <row r="37">
          <cell r="A37">
            <v>45687</v>
          </cell>
          <cell r="B37">
            <v>6071.17</v>
          </cell>
        </row>
        <row r="38">
          <cell r="A38">
            <v>45686</v>
          </cell>
          <cell r="B38">
            <v>6039.31</v>
          </cell>
        </row>
        <row r="39">
          <cell r="A39">
            <v>45685</v>
          </cell>
          <cell r="B39">
            <v>6067.7</v>
          </cell>
        </row>
        <row r="40">
          <cell r="A40">
            <v>45684</v>
          </cell>
          <cell r="B40">
            <v>6012.28</v>
          </cell>
        </row>
        <row r="41">
          <cell r="A41">
            <v>45681</v>
          </cell>
          <cell r="B41">
            <v>6101.24</v>
          </cell>
        </row>
        <row r="42">
          <cell r="A42">
            <v>45680</v>
          </cell>
          <cell r="B42">
            <v>6118.71</v>
          </cell>
        </row>
        <row r="43">
          <cell r="A43">
            <v>45679</v>
          </cell>
          <cell r="B43">
            <v>6086.37</v>
          </cell>
        </row>
        <row r="44">
          <cell r="A44">
            <v>45678</v>
          </cell>
          <cell r="B44">
            <v>6049.24</v>
          </cell>
        </row>
        <row r="45">
          <cell r="A45">
            <v>45674</v>
          </cell>
          <cell r="B45">
            <v>5996.66</v>
          </cell>
        </row>
        <row r="46">
          <cell r="A46">
            <v>45673</v>
          </cell>
          <cell r="B46">
            <v>5937.34</v>
          </cell>
        </row>
        <row r="47">
          <cell r="A47">
            <v>45672</v>
          </cell>
          <cell r="B47">
            <v>5949.91</v>
          </cell>
        </row>
        <row r="48">
          <cell r="A48">
            <v>45671</v>
          </cell>
          <cell r="B48">
            <v>5842.91</v>
          </cell>
        </row>
        <row r="49">
          <cell r="A49">
            <v>45670</v>
          </cell>
          <cell r="B49">
            <v>5836.22</v>
          </cell>
        </row>
        <row r="50">
          <cell r="A50">
            <v>45667</v>
          </cell>
          <cell r="B50">
            <v>5827.04</v>
          </cell>
        </row>
        <row r="51">
          <cell r="A51">
            <v>45665</v>
          </cell>
          <cell r="B51">
            <v>5918.25</v>
          </cell>
        </row>
        <row r="52">
          <cell r="A52">
            <v>45664</v>
          </cell>
          <cell r="B52">
            <v>5909.03</v>
          </cell>
        </row>
        <row r="53">
          <cell r="A53">
            <v>45663</v>
          </cell>
          <cell r="B53">
            <v>5975.38</v>
          </cell>
        </row>
        <row r="54">
          <cell r="A54">
            <v>45660</v>
          </cell>
          <cell r="B54">
            <v>5942.47</v>
          </cell>
        </row>
        <row r="55">
          <cell r="A55">
            <v>45659</v>
          </cell>
          <cell r="B55">
            <v>5868.55</v>
          </cell>
        </row>
        <row r="56">
          <cell r="A56">
            <v>45657</v>
          </cell>
          <cell r="B56">
            <v>5881.63</v>
          </cell>
        </row>
        <row r="57">
          <cell r="A57">
            <v>45656</v>
          </cell>
          <cell r="B57">
            <v>5906.94</v>
          </cell>
        </row>
        <row r="58">
          <cell r="A58">
            <v>45653</v>
          </cell>
          <cell r="B58">
            <v>5970.84</v>
          </cell>
        </row>
        <row r="59">
          <cell r="A59">
            <v>45652</v>
          </cell>
          <cell r="B59">
            <v>6037.59</v>
          </cell>
        </row>
        <row r="60">
          <cell r="A60">
            <v>45650</v>
          </cell>
          <cell r="B60">
            <v>6040.04</v>
          </cell>
        </row>
        <row r="61">
          <cell r="A61">
            <v>45649</v>
          </cell>
          <cell r="B61">
            <v>5974.07</v>
          </cell>
        </row>
        <row r="62">
          <cell r="A62">
            <v>45646</v>
          </cell>
          <cell r="B62">
            <v>5930.85</v>
          </cell>
        </row>
        <row r="63">
          <cell r="A63">
            <v>45645</v>
          </cell>
          <cell r="B63">
            <v>5867.08</v>
          </cell>
        </row>
        <row r="64">
          <cell r="A64">
            <v>45644</v>
          </cell>
          <cell r="B64">
            <v>5872.16</v>
          </cell>
        </row>
        <row r="65">
          <cell r="A65">
            <v>45643</v>
          </cell>
          <cell r="B65">
            <v>6050.61</v>
          </cell>
        </row>
        <row r="66">
          <cell r="A66">
            <v>45642</v>
          </cell>
          <cell r="B66">
            <v>6074.08</v>
          </cell>
        </row>
        <row r="67">
          <cell r="A67">
            <v>45639</v>
          </cell>
          <cell r="B67">
            <v>6051.09</v>
          </cell>
        </row>
        <row r="68">
          <cell r="A68">
            <v>45638</v>
          </cell>
          <cell r="B68">
            <v>6051.25</v>
          </cell>
        </row>
        <row r="69">
          <cell r="A69">
            <v>45637</v>
          </cell>
          <cell r="B69">
            <v>6084.19</v>
          </cell>
        </row>
        <row r="70">
          <cell r="A70">
            <v>45636</v>
          </cell>
          <cell r="B70">
            <v>6034.91</v>
          </cell>
        </row>
        <row r="71">
          <cell r="A71">
            <v>45635</v>
          </cell>
          <cell r="B71">
            <v>6052.85</v>
          </cell>
        </row>
        <row r="72">
          <cell r="A72">
            <v>45632</v>
          </cell>
          <cell r="B72">
            <v>6090.27</v>
          </cell>
        </row>
        <row r="73">
          <cell r="A73">
            <v>45631</v>
          </cell>
          <cell r="B73">
            <v>6075.11</v>
          </cell>
        </row>
        <row r="74">
          <cell r="A74">
            <v>45630</v>
          </cell>
          <cell r="B74">
            <v>6086.49</v>
          </cell>
        </row>
        <row r="75">
          <cell r="A75">
            <v>45629</v>
          </cell>
          <cell r="B75">
            <v>6049.88</v>
          </cell>
        </row>
        <row r="76">
          <cell r="A76">
            <v>45628</v>
          </cell>
          <cell r="B76">
            <v>6047.15</v>
          </cell>
        </row>
        <row r="77">
          <cell r="A77">
            <v>45625</v>
          </cell>
          <cell r="B77">
            <v>6032.38</v>
          </cell>
        </row>
        <row r="78">
          <cell r="A78">
            <v>45623</v>
          </cell>
          <cell r="B78">
            <v>5998.74</v>
          </cell>
        </row>
        <row r="79">
          <cell r="A79">
            <v>45622</v>
          </cell>
          <cell r="B79">
            <v>6021.63</v>
          </cell>
        </row>
        <row r="80">
          <cell r="A80">
            <v>45621</v>
          </cell>
          <cell r="B80">
            <v>5987.37</v>
          </cell>
        </row>
        <row r="81">
          <cell r="A81">
            <v>45618</v>
          </cell>
          <cell r="B81">
            <v>5969.34</v>
          </cell>
        </row>
        <row r="82">
          <cell r="A82">
            <v>45617</v>
          </cell>
          <cell r="B82">
            <v>5948.71</v>
          </cell>
        </row>
        <row r="83">
          <cell r="A83">
            <v>45616</v>
          </cell>
          <cell r="B83">
            <v>5917.11</v>
          </cell>
        </row>
        <row r="84">
          <cell r="A84">
            <v>45615</v>
          </cell>
          <cell r="B84">
            <v>5916.98</v>
          </cell>
        </row>
        <row r="85">
          <cell r="A85">
            <v>45614</v>
          </cell>
          <cell r="B85">
            <v>5893.62</v>
          </cell>
        </row>
        <row r="86">
          <cell r="A86">
            <v>45611</v>
          </cell>
          <cell r="B86">
            <v>5870.62</v>
          </cell>
        </row>
        <row r="87">
          <cell r="A87">
            <v>45610</v>
          </cell>
          <cell r="B87">
            <v>5949.17</v>
          </cell>
        </row>
        <row r="88">
          <cell r="A88">
            <v>45609</v>
          </cell>
          <cell r="B88">
            <v>5985.38</v>
          </cell>
        </row>
        <row r="89">
          <cell r="A89">
            <v>45608</v>
          </cell>
          <cell r="B89">
            <v>5983.99</v>
          </cell>
        </row>
        <row r="90">
          <cell r="A90">
            <v>45607</v>
          </cell>
          <cell r="B90">
            <v>6001.35</v>
          </cell>
        </row>
        <row r="91">
          <cell r="A91">
            <v>45604</v>
          </cell>
          <cell r="B91">
            <v>5995.54</v>
          </cell>
        </row>
        <row r="92">
          <cell r="A92">
            <v>45603</v>
          </cell>
          <cell r="B92">
            <v>5973.1</v>
          </cell>
        </row>
        <row r="93">
          <cell r="A93">
            <v>45602</v>
          </cell>
          <cell r="B93">
            <v>5929.04</v>
          </cell>
        </row>
        <row r="94">
          <cell r="A94">
            <v>45601</v>
          </cell>
          <cell r="B94">
            <v>5782.76</v>
          </cell>
        </row>
        <row r="95">
          <cell r="A95">
            <v>45600</v>
          </cell>
          <cell r="B95">
            <v>5712.69</v>
          </cell>
        </row>
        <row r="96">
          <cell r="A96">
            <v>45597</v>
          </cell>
          <cell r="B96">
            <v>5728.8</v>
          </cell>
        </row>
        <row r="97">
          <cell r="A97">
            <v>45596</v>
          </cell>
          <cell r="B97">
            <v>5705.45</v>
          </cell>
        </row>
        <row r="98">
          <cell r="A98">
            <v>45595</v>
          </cell>
          <cell r="B98">
            <v>5813.67</v>
          </cell>
        </row>
        <row r="99">
          <cell r="A99">
            <v>45594</v>
          </cell>
          <cell r="B99">
            <v>5832.92</v>
          </cell>
        </row>
        <row r="100">
          <cell r="A100">
            <v>45593</v>
          </cell>
          <cell r="B100">
            <v>5823.52</v>
          </cell>
        </row>
        <row r="101">
          <cell r="A101">
            <v>45590</v>
          </cell>
          <cell r="B101">
            <v>5808.12</v>
          </cell>
        </row>
        <row r="102">
          <cell r="A102">
            <v>45589</v>
          </cell>
          <cell r="B102">
            <v>5809.86</v>
          </cell>
        </row>
        <row r="103">
          <cell r="A103">
            <v>45588</v>
          </cell>
          <cell r="B103">
            <v>5797.42</v>
          </cell>
        </row>
        <row r="104">
          <cell r="A104">
            <v>45587</v>
          </cell>
          <cell r="B104">
            <v>5851.2</v>
          </cell>
        </row>
        <row r="105">
          <cell r="A105">
            <v>45586</v>
          </cell>
          <cell r="B105">
            <v>5853.98</v>
          </cell>
        </row>
        <row r="106">
          <cell r="A106">
            <v>45583</v>
          </cell>
          <cell r="B106">
            <v>5864.67</v>
          </cell>
        </row>
        <row r="107">
          <cell r="A107">
            <v>45582</v>
          </cell>
          <cell r="B107">
            <v>5841.47</v>
          </cell>
        </row>
        <row r="108">
          <cell r="A108">
            <v>45581</v>
          </cell>
          <cell r="B108">
            <v>5842.47</v>
          </cell>
        </row>
        <row r="109">
          <cell r="A109">
            <v>45580</v>
          </cell>
          <cell r="B109">
            <v>5815.26</v>
          </cell>
        </row>
        <row r="110">
          <cell r="A110">
            <v>45579</v>
          </cell>
          <cell r="B110">
            <v>5859.85</v>
          </cell>
        </row>
        <row r="111">
          <cell r="A111">
            <v>45576</v>
          </cell>
          <cell r="B111">
            <v>5815.03</v>
          </cell>
        </row>
        <row r="112">
          <cell r="A112">
            <v>45575</v>
          </cell>
          <cell r="B112">
            <v>5780.05</v>
          </cell>
        </row>
        <row r="113">
          <cell r="A113">
            <v>45574</v>
          </cell>
          <cell r="B113">
            <v>5792.04</v>
          </cell>
        </row>
        <row r="114">
          <cell r="A114">
            <v>45573</v>
          </cell>
          <cell r="B114">
            <v>5751.13</v>
          </cell>
        </row>
        <row r="115">
          <cell r="A115">
            <v>45572</v>
          </cell>
          <cell r="B115">
            <v>5695.94</v>
          </cell>
        </row>
        <row r="116">
          <cell r="A116">
            <v>45569</v>
          </cell>
          <cell r="B116">
            <v>5751.07</v>
          </cell>
        </row>
        <row r="117">
          <cell r="A117">
            <v>45568</v>
          </cell>
          <cell r="B117">
            <v>5699.94</v>
          </cell>
        </row>
        <row r="118">
          <cell r="A118">
            <v>45567</v>
          </cell>
          <cell r="B118">
            <v>5709.54</v>
          </cell>
        </row>
        <row r="119">
          <cell r="A119">
            <v>45566</v>
          </cell>
          <cell r="B119">
            <v>5708.75</v>
          </cell>
        </row>
        <row r="120">
          <cell r="A120">
            <v>45565</v>
          </cell>
          <cell r="B120">
            <v>5762.48</v>
          </cell>
        </row>
        <row r="121">
          <cell r="A121">
            <v>45562</v>
          </cell>
          <cell r="B121">
            <v>5738.17</v>
          </cell>
        </row>
        <row r="122">
          <cell r="A122">
            <v>45561</v>
          </cell>
          <cell r="B122">
            <v>5745.37</v>
          </cell>
        </row>
        <row r="123">
          <cell r="A123">
            <v>45560</v>
          </cell>
          <cell r="B123">
            <v>5722.26</v>
          </cell>
        </row>
        <row r="124">
          <cell r="A124">
            <v>45559</v>
          </cell>
          <cell r="B124">
            <v>5732.93</v>
          </cell>
        </row>
        <row r="125">
          <cell r="A125">
            <v>45558</v>
          </cell>
          <cell r="B125">
            <v>5718.57</v>
          </cell>
        </row>
        <row r="126">
          <cell r="A126">
            <v>45555</v>
          </cell>
          <cell r="B126">
            <v>5702.55</v>
          </cell>
        </row>
        <row r="127">
          <cell r="A127">
            <v>45554</v>
          </cell>
          <cell r="B127">
            <v>5713.64</v>
          </cell>
        </row>
        <row r="128">
          <cell r="A128">
            <v>45553</v>
          </cell>
          <cell r="B128">
            <v>5618.26</v>
          </cell>
        </row>
        <row r="129">
          <cell r="A129">
            <v>45552</v>
          </cell>
          <cell r="B129">
            <v>5634.58</v>
          </cell>
        </row>
        <row r="130">
          <cell r="A130">
            <v>45551</v>
          </cell>
          <cell r="B130">
            <v>5633.09</v>
          </cell>
        </row>
        <row r="131">
          <cell r="A131">
            <v>45548</v>
          </cell>
          <cell r="B131">
            <v>5626.02</v>
          </cell>
        </row>
        <row r="132">
          <cell r="A132">
            <v>45547</v>
          </cell>
          <cell r="B132">
            <v>5595.76</v>
          </cell>
        </row>
        <row r="133">
          <cell r="A133">
            <v>45546</v>
          </cell>
          <cell r="B133">
            <v>5554.13</v>
          </cell>
        </row>
        <row r="134">
          <cell r="A134">
            <v>45545</v>
          </cell>
          <cell r="B134">
            <v>5495.52</v>
          </cell>
        </row>
        <row r="135">
          <cell r="A135">
            <v>45544</v>
          </cell>
          <cell r="B135">
            <v>5471.05</v>
          </cell>
        </row>
        <row r="136">
          <cell r="A136">
            <v>45541</v>
          </cell>
          <cell r="B136">
            <v>5408.42</v>
          </cell>
        </row>
        <row r="137">
          <cell r="A137">
            <v>45540</v>
          </cell>
          <cell r="B137">
            <v>5503.41</v>
          </cell>
        </row>
        <row r="138">
          <cell r="A138">
            <v>45539</v>
          </cell>
          <cell r="B138">
            <v>5520.07</v>
          </cell>
        </row>
        <row r="139">
          <cell r="A139">
            <v>45538</v>
          </cell>
          <cell r="B139">
            <v>5528.93</v>
          </cell>
        </row>
        <row r="140">
          <cell r="A140">
            <v>45534</v>
          </cell>
          <cell r="B140">
            <v>5648.4</v>
          </cell>
        </row>
        <row r="141">
          <cell r="A141">
            <v>45533</v>
          </cell>
          <cell r="B141">
            <v>5591.96</v>
          </cell>
        </row>
        <row r="142">
          <cell r="A142">
            <v>45532</v>
          </cell>
          <cell r="B142">
            <v>5592.18</v>
          </cell>
        </row>
        <row r="143">
          <cell r="A143">
            <v>45531</v>
          </cell>
          <cell r="B143">
            <v>5625.8</v>
          </cell>
        </row>
        <row r="144">
          <cell r="A144">
            <v>45530</v>
          </cell>
          <cell r="B144">
            <v>5616.84</v>
          </cell>
        </row>
        <row r="145">
          <cell r="A145">
            <v>45527</v>
          </cell>
          <cell r="B145">
            <v>5634.61</v>
          </cell>
        </row>
        <row r="146">
          <cell r="A146">
            <v>45526</v>
          </cell>
          <cell r="B146">
            <v>5570.64</v>
          </cell>
        </row>
        <row r="147">
          <cell r="A147">
            <v>45525</v>
          </cell>
          <cell r="B147">
            <v>5620.85</v>
          </cell>
        </row>
        <row r="148">
          <cell r="A148">
            <v>45524</v>
          </cell>
          <cell r="B148">
            <v>5597.12</v>
          </cell>
        </row>
        <row r="149">
          <cell r="A149">
            <v>45523</v>
          </cell>
          <cell r="B149">
            <v>5608.25</v>
          </cell>
        </row>
        <row r="150">
          <cell r="A150">
            <v>45520</v>
          </cell>
          <cell r="B150">
            <v>5554.25</v>
          </cell>
        </row>
        <row r="151">
          <cell r="A151">
            <v>45519</v>
          </cell>
          <cell r="B151">
            <v>5543.22</v>
          </cell>
        </row>
        <row r="152">
          <cell r="A152">
            <v>45518</v>
          </cell>
          <cell r="B152">
            <v>5455.21</v>
          </cell>
        </row>
        <row r="153">
          <cell r="A153">
            <v>45517</v>
          </cell>
          <cell r="B153">
            <v>5434.43</v>
          </cell>
        </row>
        <row r="154">
          <cell r="A154">
            <v>45516</v>
          </cell>
          <cell r="B154">
            <v>5344.39</v>
          </cell>
        </row>
        <row r="155">
          <cell r="A155">
            <v>45513</v>
          </cell>
          <cell r="B155">
            <v>5344.16</v>
          </cell>
        </row>
        <row r="156">
          <cell r="A156">
            <v>45512</v>
          </cell>
          <cell r="B156">
            <v>5319.31</v>
          </cell>
        </row>
        <row r="157">
          <cell r="A157">
            <v>45511</v>
          </cell>
          <cell r="B157">
            <v>5199.5</v>
          </cell>
        </row>
        <row r="158">
          <cell r="A158">
            <v>45510</v>
          </cell>
          <cell r="B158">
            <v>5240.03</v>
          </cell>
        </row>
        <row r="159">
          <cell r="A159">
            <v>45509</v>
          </cell>
          <cell r="B159">
            <v>5186.33</v>
          </cell>
        </row>
        <row r="160">
          <cell r="A160">
            <v>45506</v>
          </cell>
          <cell r="B160">
            <v>5346.56</v>
          </cell>
        </row>
        <row r="161">
          <cell r="A161">
            <v>45505</v>
          </cell>
          <cell r="B161">
            <v>5446.68</v>
          </cell>
        </row>
        <row r="162">
          <cell r="A162">
            <v>45504</v>
          </cell>
          <cell r="B162">
            <v>5522.3</v>
          </cell>
        </row>
        <row r="163">
          <cell r="A163">
            <v>45503</v>
          </cell>
          <cell r="B163">
            <v>5436.44</v>
          </cell>
        </row>
        <row r="164">
          <cell r="A164">
            <v>45502</v>
          </cell>
          <cell r="B164">
            <v>5463.54</v>
          </cell>
        </row>
        <row r="165">
          <cell r="A165">
            <v>45499</v>
          </cell>
          <cell r="B165">
            <v>5459.1</v>
          </cell>
        </row>
        <row r="166">
          <cell r="A166">
            <v>45498</v>
          </cell>
          <cell r="B166">
            <v>5399.22</v>
          </cell>
        </row>
        <row r="167">
          <cell r="A167">
            <v>45497</v>
          </cell>
          <cell r="B167">
            <v>5427.13</v>
          </cell>
        </row>
        <row r="168">
          <cell r="A168">
            <v>45496</v>
          </cell>
          <cell r="B168">
            <v>5555.74</v>
          </cell>
        </row>
        <row r="169">
          <cell r="A169">
            <v>45495</v>
          </cell>
          <cell r="B169">
            <v>5564.41</v>
          </cell>
        </row>
        <row r="170">
          <cell r="A170">
            <v>45492</v>
          </cell>
          <cell r="B170">
            <v>5505</v>
          </cell>
        </row>
        <row r="171">
          <cell r="A171">
            <v>45491</v>
          </cell>
          <cell r="B171">
            <v>5544.59</v>
          </cell>
        </row>
        <row r="172">
          <cell r="A172">
            <v>45490</v>
          </cell>
          <cell r="B172">
            <v>5588.27</v>
          </cell>
        </row>
        <row r="173">
          <cell r="A173">
            <v>45489</v>
          </cell>
          <cell r="B173">
            <v>5667.2</v>
          </cell>
        </row>
        <row r="174">
          <cell r="A174">
            <v>45488</v>
          </cell>
          <cell r="B174">
            <v>5631.22</v>
          </cell>
        </row>
        <row r="175">
          <cell r="A175">
            <v>45485</v>
          </cell>
          <cell r="B175">
            <v>5615.35</v>
          </cell>
        </row>
        <row r="176">
          <cell r="A176">
            <v>45484</v>
          </cell>
          <cell r="B176">
            <v>5584.54</v>
          </cell>
        </row>
        <row r="177">
          <cell r="A177">
            <v>45483</v>
          </cell>
          <cell r="B177">
            <v>5633.91</v>
          </cell>
        </row>
        <row r="178">
          <cell r="A178">
            <v>45482</v>
          </cell>
          <cell r="B178">
            <v>5576.98</v>
          </cell>
        </row>
        <row r="179">
          <cell r="A179">
            <v>45481</v>
          </cell>
          <cell r="B179">
            <v>5572.85</v>
          </cell>
        </row>
        <row r="180">
          <cell r="A180">
            <v>45478</v>
          </cell>
          <cell r="B180">
            <v>5567.19</v>
          </cell>
        </row>
        <row r="181">
          <cell r="A181">
            <v>45476</v>
          </cell>
          <cell r="B181">
            <v>5537.02</v>
          </cell>
        </row>
        <row r="182">
          <cell r="A182">
            <v>45475</v>
          </cell>
          <cell r="B182">
            <v>5509.01</v>
          </cell>
        </row>
        <row r="183">
          <cell r="A183">
            <v>45474</v>
          </cell>
          <cell r="B183">
            <v>5475.09</v>
          </cell>
        </row>
        <row r="184">
          <cell r="A184">
            <v>45471</v>
          </cell>
          <cell r="B184">
            <v>5460.48</v>
          </cell>
        </row>
        <row r="185">
          <cell r="A185">
            <v>45470</v>
          </cell>
          <cell r="B185">
            <v>5482.87</v>
          </cell>
        </row>
        <row r="186">
          <cell r="A186">
            <v>45469</v>
          </cell>
          <cell r="B186">
            <v>5477.9</v>
          </cell>
        </row>
        <row r="187">
          <cell r="A187">
            <v>45468</v>
          </cell>
          <cell r="B187">
            <v>5469.3</v>
          </cell>
        </row>
        <row r="188">
          <cell r="A188">
            <v>45467</v>
          </cell>
          <cell r="B188">
            <v>5447.87</v>
          </cell>
        </row>
        <row r="189">
          <cell r="A189">
            <v>45464</v>
          </cell>
          <cell r="B189">
            <v>5464.62</v>
          </cell>
        </row>
        <row r="190">
          <cell r="A190">
            <v>45463</v>
          </cell>
          <cell r="B190">
            <v>5473.17</v>
          </cell>
        </row>
        <row r="191">
          <cell r="A191">
            <v>45461</v>
          </cell>
          <cell r="B191">
            <v>5487.03</v>
          </cell>
        </row>
        <row r="192">
          <cell r="A192">
            <v>45460</v>
          </cell>
          <cell r="B192">
            <v>5473.23</v>
          </cell>
        </row>
        <row r="193">
          <cell r="A193">
            <v>45457</v>
          </cell>
          <cell r="B193">
            <v>5431.6</v>
          </cell>
        </row>
        <row r="194">
          <cell r="A194">
            <v>45456</v>
          </cell>
          <cell r="B194">
            <v>5433.74</v>
          </cell>
        </row>
        <row r="195">
          <cell r="A195">
            <v>45455</v>
          </cell>
          <cell r="B195">
            <v>5421.03</v>
          </cell>
        </row>
        <row r="196">
          <cell r="A196">
            <v>45454</v>
          </cell>
          <cell r="B196">
            <v>5375.32</v>
          </cell>
        </row>
        <row r="197">
          <cell r="A197">
            <v>45453</v>
          </cell>
          <cell r="B197">
            <v>5360.79</v>
          </cell>
        </row>
        <row r="198">
          <cell r="A198">
            <v>45450</v>
          </cell>
          <cell r="B198">
            <v>5346.99</v>
          </cell>
        </row>
        <row r="199">
          <cell r="A199">
            <v>45449</v>
          </cell>
          <cell r="B199">
            <v>5352.96</v>
          </cell>
        </row>
        <row r="200">
          <cell r="A200">
            <v>45448</v>
          </cell>
          <cell r="B200">
            <v>5354.03</v>
          </cell>
        </row>
        <row r="201">
          <cell r="A201">
            <v>45447</v>
          </cell>
          <cell r="B201">
            <v>5291.34</v>
          </cell>
        </row>
        <row r="202">
          <cell r="A202">
            <v>45446</v>
          </cell>
          <cell r="B202">
            <v>5283.4</v>
          </cell>
        </row>
        <row r="203">
          <cell r="A203">
            <v>45443</v>
          </cell>
          <cell r="B203">
            <v>5277.51</v>
          </cell>
        </row>
        <row r="204">
          <cell r="A204">
            <v>45442</v>
          </cell>
          <cell r="B204">
            <v>5235.4799999999996</v>
          </cell>
        </row>
        <row r="205">
          <cell r="A205">
            <v>45441</v>
          </cell>
          <cell r="B205">
            <v>5266.95</v>
          </cell>
        </row>
        <row r="206">
          <cell r="A206">
            <v>45440</v>
          </cell>
          <cell r="B206">
            <v>5306.04</v>
          </cell>
        </row>
        <row r="207">
          <cell r="A207">
            <v>45436</v>
          </cell>
          <cell r="B207">
            <v>5304.72</v>
          </cell>
        </row>
        <row r="208">
          <cell r="A208">
            <v>45435</v>
          </cell>
          <cell r="B208">
            <v>5267.84</v>
          </cell>
        </row>
        <row r="209">
          <cell r="A209">
            <v>45434</v>
          </cell>
          <cell r="B209">
            <v>5307.01</v>
          </cell>
        </row>
        <row r="210">
          <cell r="A210">
            <v>45433</v>
          </cell>
          <cell r="B210">
            <v>5321.41</v>
          </cell>
        </row>
        <row r="211">
          <cell r="A211">
            <v>45432</v>
          </cell>
          <cell r="B211">
            <v>5308.13</v>
          </cell>
        </row>
        <row r="212">
          <cell r="A212">
            <v>45429</v>
          </cell>
          <cell r="B212">
            <v>5303.27</v>
          </cell>
        </row>
        <row r="213">
          <cell r="A213">
            <v>45428</v>
          </cell>
          <cell r="B213">
            <v>5297.1</v>
          </cell>
        </row>
        <row r="214">
          <cell r="A214">
            <v>45427</v>
          </cell>
          <cell r="B214">
            <v>5308.15</v>
          </cell>
        </row>
        <row r="215">
          <cell r="A215">
            <v>45426</v>
          </cell>
          <cell r="B215">
            <v>5246.68</v>
          </cell>
        </row>
        <row r="216">
          <cell r="A216">
            <v>45425</v>
          </cell>
          <cell r="B216">
            <v>5221.42</v>
          </cell>
        </row>
        <row r="217">
          <cell r="A217">
            <v>45422</v>
          </cell>
          <cell r="B217">
            <v>5222.68</v>
          </cell>
        </row>
        <row r="218">
          <cell r="A218">
            <v>45421</v>
          </cell>
          <cell r="B218">
            <v>5214.08</v>
          </cell>
        </row>
        <row r="219">
          <cell r="A219">
            <v>45420</v>
          </cell>
          <cell r="B219">
            <v>5187.67</v>
          </cell>
        </row>
        <row r="220">
          <cell r="A220">
            <v>45419</v>
          </cell>
          <cell r="B220">
            <v>5187.7</v>
          </cell>
        </row>
        <row r="221">
          <cell r="A221">
            <v>45418</v>
          </cell>
          <cell r="B221">
            <v>5180.74</v>
          </cell>
        </row>
        <row r="222">
          <cell r="A222">
            <v>45415</v>
          </cell>
          <cell r="B222">
            <v>5127.79</v>
          </cell>
        </row>
        <row r="223">
          <cell r="A223">
            <v>45414</v>
          </cell>
          <cell r="B223">
            <v>5064.2</v>
          </cell>
        </row>
        <row r="224">
          <cell r="A224">
            <v>45413</v>
          </cell>
          <cell r="B224">
            <v>5018.3900000000003</v>
          </cell>
        </row>
        <row r="225">
          <cell r="A225">
            <v>45412</v>
          </cell>
          <cell r="B225">
            <v>5035.6899999999996</v>
          </cell>
        </row>
        <row r="226">
          <cell r="A226">
            <v>45411</v>
          </cell>
          <cell r="B226">
            <v>5116.17</v>
          </cell>
        </row>
        <row r="227">
          <cell r="A227">
            <v>45408</v>
          </cell>
          <cell r="B227">
            <v>5099.96</v>
          </cell>
        </row>
        <row r="228">
          <cell r="A228">
            <v>45407</v>
          </cell>
          <cell r="B228">
            <v>5048.42</v>
          </cell>
        </row>
        <row r="229">
          <cell r="A229">
            <v>45406</v>
          </cell>
          <cell r="B229">
            <v>5071.63</v>
          </cell>
        </row>
        <row r="230">
          <cell r="A230">
            <v>45405</v>
          </cell>
          <cell r="B230">
            <v>5070.55</v>
          </cell>
        </row>
        <row r="231">
          <cell r="A231">
            <v>45404</v>
          </cell>
          <cell r="B231">
            <v>5010.6000000000004</v>
          </cell>
        </row>
        <row r="232">
          <cell r="A232">
            <v>45401</v>
          </cell>
          <cell r="B232">
            <v>4967.2299999999996</v>
          </cell>
        </row>
        <row r="233">
          <cell r="A233">
            <v>45400</v>
          </cell>
          <cell r="B233">
            <v>5011.12</v>
          </cell>
        </row>
        <row r="234">
          <cell r="A234">
            <v>45399</v>
          </cell>
          <cell r="B234">
            <v>5022.21</v>
          </cell>
        </row>
        <row r="235">
          <cell r="A235">
            <v>45398</v>
          </cell>
          <cell r="B235">
            <v>5051.41</v>
          </cell>
        </row>
        <row r="236">
          <cell r="A236">
            <v>45397</v>
          </cell>
          <cell r="B236">
            <v>5061.82</v>
          </cell>
        </row>
        <row r="237">
          <cell r="A237">
            <v>45394</v>
          </cell>
          <cell r="B237">
            <v>5123.41</v>
          </cell>
        </row>
        <row r="238">
          <cell r="A238">
            <v>45393</v>
          </cell>
          <cell r="B238">
            <v>5199.0600000000004</v>
          </cell>
        </row>
        <row r="239">
          <cell r="A239">
            <v>45392</v>
          </cell>
          <cell r="B239">
            <v>5160.6400000000003</v>
          </cell>
        </row>
        <row r="240">
          <cell r="A240">
            <v>45391</v>
          </cell>
          <cell r="B240">
            <v>5209.91</v>
          </cell>
        </row>
        <row r="241">
          <cell r="A241">
            <v>45390</v>
          </cell>
          <cell r="B241">
            <v>5202.3900000000003</v>
          </cell>
        </row>
        <row r="242">
          <cell r="A242">
            <v>45387</v>
          </cell>
          <cell r="B242">
            <v>5204.34</v>
          </cell>
        </row>
        <row r="243">
          <cell r="A243">
            <v>45386</v>
          </cell>
          <cell r="B243">
            <v>5147.21</v>
          </cell>
        </row>
        <row r="244">
          <cell r="A244">
            <v>45385</v>
          </cell>
          <cell r="B244">
            <v>5211.49</v>
          </cell>
        </row>
        <row r="245">
          <cell r="A245">
            <v>45384</v>
          </cell>
          <cell r="B245">
            <v>5205.8100000000004</v>
          </cell>
        </row>
        <row r="246">
          <cell r="A246">
            <v>45383</v>
          </cell>
          <cell r="B246">
            <v>5243.77</v>
          </cell>
        </row>
        <row r="247">
          <cell r="A247">
            <v>45379</v>
          </cell>
          <cell r="B247">
            <v>5254.35</v>
          </cell>
        </row>
        <row r="248">
          <cell r="A248">
            <v>45378</v>
          </cell>
          <cell r="B248">
            <v>5248.49</v>
          </cell>
        </row>
        <row r="249">
          <cell r="A249">
            <v>45377</v>
          </cell>
          <cell r="B249">
            <v>5203.58</v>
          </cell>
        </row>
        <row r="250">
          <cell r="A250">
            <v>45376</v>
          </cell>
          <cell r="B250">
            <v>5218.1899999999996</v>
          </cell>
        </row>
        <row r="251">
          <cell r="A251">
            <v>45373</v>
          </cell>
          <cell r="B251">
            <v>5234.18</v>
          </cell>
        </row>
        <row r="252">
          <cell r="A252">
            <v>45372</v>
          </cell>
          <cell r="B252">
            <v>5241.53</v>
          </cell>
        </row>
        <row r="253">
          <cell r="A253">
            <v>45371</v>
          </cell>
          <cell r="B253">
            <v>5224.62</v>
          </cell>
        </row>
        <row r="254">
          <cell r="A254">
            <v>45370</v>
          </cell>
          <cell r="B254">
            <v>5178.51</v>
          </cell>
        </row>
        <row r="255">
          <cell r="A255">
            <v>45369</v>
          </cell>
          <cell r="B255">
            <v>5149.42</v>
          </cell>
        </row>
        <row r="256">
          <cell r="A256">
            <v>45366</v>
          </cell>
          <cell r="B256">
            <v>5117.09</v>
          </cell>
        </row>
        <row r="257">
          <cell r="A257">
            <v>45365</v>
          </cell>
          <cell r="B257">
            <v>5150.4799999999996</v>
          </cell>
        </row>
        <row r="258">
          <cell r="A258">
            <v>45364</v>
          </cell>
          <cell r="B258">
            <v>5165.3100000000004</v>
          </cell>
        </row>
        <row r="259">
          <cell r="A259">
            <v>45363</v>
          </cell>
          <cell r="B259">
            <v>5175.2700000000004</v>
          </cell>
        </row>
        <row r="260">
          <cell r="A260">
            <v>45362</v>
          </cell>
          <cell r="B260">
            <v>5117.9399999999996</v>
          </cell>
        </row>
        <row r="261">
          <cell r="A261">
            <v>45359</v>
          </cell>
          <cell r="B261">
            <v>5123.6899999999996</v>
          </cell>
        </row>
        <row r="262">
          <cell r="A262">
            <v>45358</v>
          </cell>
          <cell r="B262">
            <v>5157.3599999999997</v>
          </cell>
        </row>
        <row r="263">
          <cell r="A263">
            <v>45357</v>
          </cell>
          <cell r="B263">
            <v>5104.76</v>
          </cell>
        </row>
        <row r="264">
          <cell r="A264">
            <v>45356</v>
          </cell>
          <cell r="B264">
            <v>5078.6499999999996</v>
          </cell>
        </row>
        <row r="265">
          <cell r="A265">
            <v>45355</v>
          </cell>
          <cell r="B265">
            <v>5130.95</v>
          </cell>
        </row>
        <row r="266">
          <cell r="A266">
            <v>45352</v>
          </cell>
          <cell r="B266">
            <v>5137.08</v>
          </cell>
        </row>
        <row r="267">
          <cell r="A267">
            <v>45351</v>
          </cell>
          <cell r="B267">
            <v>5096.2700000000004</v>
          </cell>
        </row>
        <row r="268">
          <cell r="A268">
            <v>45350</v>
          </cell>
          <cell r="B268">
            <v>5069.76</v>
          </cell>
        </row>
        <row r="269">
          <cell r="A269">
            <v>45349</v>
          </cell>
          <cell r="B269">
            <v>5078.18</v>
          </cell>
        </row>
        <row r="270">
          <cell r="A270">
            <v>45348</v>
          </cell>
          <cell r="B270">
            <v>5069.53</v>
          </cell>
        </row>
        <row r="271">
          <cell r="A271">
            <v>45345</v>
          </cell>
          <cell r="B271">
            <v>5088.8</v>
          </cell>
        </row>
        <row r="272">
          <cell r="A272">
            <v>45344</v>
          </cell>
          <cell r="B272">
            <v>5087.03</v>
          </cell>
        </row>
        <row r="273">
          <cell r="A273">
            <v>45343</v>
          </cell>
          <cell r="B273">
            <v>4981.8</v>
          </cell>
        </row>
        <row r="274">
          <cell r="A274">
            <v>45342</v>
          </cell>
          <cell r="B274">
            <v>4975.51</v>
          </cell>
        </row>
        <row r="275">
          <cell r="A275">
            <v>45338</v>
          </cell>
          <cell r="B275">
            <v>5005.57</v>
          </cell>
        </row>
        <row r="276">
          <cell r="A276">
            <v>45337</v>
          </cell>
          <cell r="B276">
            <v>5029.7299999999996</v>
          </cell>
        </row>
        <row r="277">
          <cell r="A277">
            <v>45336</v>
          </cell>
          <cell r="B277">
            <v>5000.62</v>
          </cell>
        </row>
        <row r="278">
          <cell r="A278">
            <v>45335</v>
          </cell>
          <cell r="B278">
            <v>4953.17</v>
          </cell>
        </row>
        <row r="279">
          <cell r="A279">
            <v>45334</v>
          </cell>
          <cell r="B279">
            <v>5021.84</v>
          </cell>
        </row>
        <row r="280">
          <cell r="A280">
            <v>45331</v>
          </cell>
          <cell r="B280">
            <v>5026.6099999999997</v>
          </cell>
        </row>
        <row r="281">
          <cell r="A281">
            <v>45330</v>
          </cell>
          <cell r="B281">
            <v>4997.91</v>
          </cell>
        </row>
        <row r="282">
          <cell r="A282">
            <v>45329</v>
          </cell>
          <cell r="B282">
            <v>4995.0600000000004</v>
          </cell>
        </row>
        <row r="283">
          <cell r="A283">
            <v>45328</v>
          </cell>
          <cell r="B283">
            <v>4954.2299999999996</v>
          </cell>
        </row>
        <row r="284">
          <cell r="A284">
            <v>45327</v>
          </cell>
          <cell r="B284">
            <v>4942.8100000000004</v>
          </cell>
        </row>
        <row r="285">
          <cell r="A285">
            <v>45324</v>
          </cell>
          <cell r="B285">
            <v>4958.6099999999997</v>
          </cell>
        </row>
        <row r="286">
          <cell r="A286">
            <v>45323</v>
          </cell>
          <cell r="B286">
            <v>4906.1899999999996</v>
          </cell>
        </row>
        <row r="287">
          <cell r="A287">
            <v>45322</v>
          </cell>
          <cell r="B287">
            <v>4845.6499999999996</v>
          </cell>
        </row>
        <row r="288">
          <cell r="A288">
            <v>45321</v>
          </cell>
          <cell r="B288">
            <v>4924.97</v>
          </cell>
        </row>
        <row r="289">
          <cell r="A289">
            <v>45320</v>
          </cell>
          <cell r="B289">
            <v>4927.93</v>
          </cell>
        </row>
        <row r="290">
          <cell r="A290">
            <v>45317</v>
          </cell>
          <cell r="B290">
            <v>4890.97</v>
          </cell>
        </row>
        <row r="291">
          <cell r="A291">
            <v>45316</v>
          </cell>
          <cell r="B291">
            <v>4894.16</v>
          </cell>
        </row>
        <row r="292">
          <cell r="A292">
            <v>45315</v>
          </cell>
          <cell r="B292">
            <v>4868.55</v>
          </cell>
        </row>
        <row r="293">
          <cell r="A293">
            <v>45314</v>
          </cell>
          <cell r="B293">
            <v>4864.6000000000004</v>
          </cell>
        </row>
        <row r="294">
          <cell r="A294">
            <v>45313</v>
          </cell>
          <cell r="B294">
            <v>4850.43</v>
          </cell>
        </row>
        <row r="295">
          <cell r="A295">
            <v>45310</v>
          </cell>
          <cell r="B295">
            <v>4839.8100000000004</v>
          </cell>
        </row>
        <row r="296">
          <cell r="A296">
            <v>45309</v>
          </cell>
          <cell r="B296">
            <v>4780.9399999999996</v>
          </cell>
        </row>
        <row r="297">
          <cell r="A297">
            <v>45308</v>
          </cell>
          <cell r="B297">
            <v>4739.21</v>
          </cell>
        </row>
        <row r="298">
          <cell r="A298">
            <v>45307</v>
          </cell>
          <cell r="B298">
            <v>4765.9799999999996</v>
          </cell>
        </row>
        <row r="299">
          <cell r="A299">
            <v>45303</v>
          </cell>
          <cell r="B299">
            <v>4783.83</v>
          </cell>
        </row>
        <row r="300">
          <cell r="A300">
            <v>45302</v>
          </cell>
          <cell r="B300">
            <v>4780.24</v>
          </cell>
        </row>
        <row r="301">
          <cell r="A301">
            <v>45301</v>
          </cell>
          <cell r="B301">
            <v>4783.45</v>
          </cell>
        </row>
        <row r="302">
          <cell r="A302">
            <v>45300</v>
          </cell>
          <cell r="B302">
            <v>4756.5</v>
          </cell>
        </row>
        <row r="303">
          <cell r="A303">
            <v>45299</v>
          </cell>
          <cell r="B303">
            <v>4763.54</v>
          </cell>
        </row>
        <row r="304">
          <cell r="A304">
            <v>45296</v>
          </cell>
          <cell r="B304">
            <v>4697.24</v>
          </cell>
        </row>
        <row r="305">
          <cell r="A305">
            <v>45295</v>
          </cell>
          <cell r="B305">
            <v>4688.68</v>
          </cell>
        </row>
        <row r="306">
          <cell r="A306">
            <v>45294</v>
          </cell>
          <cell r="B306">
            <v>4704.8100000000004</v>
          </cell>
        </row>
        <row r="307">
          <cell r="A307">
            <v>45293</v>
          </cell>
          <cell r="B307">
            <v>4742.83</v>
          </cell>
        </row>
        <row r="308">
          <cell r="A308">
            <v>45289</v>
          </cell>
          <cell r="B308">
            <v>4769.83</v>
          </cell>
        </row>
        <row r="309">
          <cell r="A309">
            <v>45288</v>
          </cell>
          <cell r="B309">
            <v>4783.3500000000004</v>
          </cell>
        </row>
        <row r="310">
          <cell r="A310">
            <v>45287</v>
          </cell>
          <cell r="B310">
            <v>4781.58</v>
          </cell>
        </row>
        <row r="311">
          <cell r="A311">
            <v>45286</v>
          </cell>
          <cell r="B311">
            <v>4774.75</v>
          </cell>
        </row>
        <row r="312">
          <cell r="A312">
            <v>45282</v>
          </cell>
          <cell r="B312">
            <v>4754.63</v>
          </cell>
        </row>
        <row r="313">
          <cell r="A313">
            <v>45281</v>
          </cell>
          <cell r="B313">
            <v>4746.75</v>
          </cell>
        </row>
        <row r="314">
          <cell r="A314">
            <v>45280</v>
          </cell>
          <cell r="B314">
            <v>4698.3500000000004</v>
          </cell>
        </row>
        <row r="315">
          <cell r="A315">
            <v>45279</v>
          </cell>
          <cell r="B315">
            <v>4768.37</v>
          </cell>
        </row>
        <row r="316">
          <cell r="A316">
            <v>45278</v>
          </cell>
          <cell r="B316">
            <v>4740.5600000000004</v>
          </cell>
        </row>
        <row r="317">
          <cell r="A317">
            <v>45275</v>
          </cell>
          <cell r="B317">
            <v>4719.1899999999996</v>
          </cell>
        </row>
        <row r="318">
          <cell r="A318">
            <v>45274</v>
          </cell>
          <cell r="B318">
            <v>4719.55</v>
          </cell>
        </row>
        <row r="319">
          <cell r="A319">
            <v>45273</v>
          </cell>
          <cell r="B319">
            <v>4707.09</v>
          </cell>
        </row>
        <row r="320">
          <cell r="A320">
            <v>45272</v>
          </cell>
          <cell r="B320">
            <v>4643.7</v>
          </cell>
        </row>
        <row r="321">
          <cell r="A321">
            <v>45271</v>
          </cell>
          <cell r="B321">
            <v>4622.4399999999996</v>
          </cell>
        </row>
        <row r="322">
          <cell r="A322">
            <v>45268</v>
          </cell>
          <cell r="B322">
            <v>4604.37</v>
          </cell>
        </row>
        <row r="323">
          <cell r="A323">
            <v>45267</v>
          </cell>
          <cell r="B323">
            <v>4585.59</v>
          </cell>
        </row>
        <row r="324">
          <cell r="A324">
            <v>45266</v>
          </cell>
          <cell r="B324">
            <v>4549.34</v>
          </cell>
        </row>
        <row r="325">
          <cell r="A325">
            <v>45265</v>
          </cell>
          <cell r="B325">
            <v>4567.18</v>
          </cell>
        </row>
        <row r="326">
          <cell r="A326">
            <v>45264</v>
          </cell>
          <cell r="B326">
            <v>4569.78</v>
          </cell>
        </row>
        <row r="327">
          <cell r="A327">
            <v>45261</v>
          </cell>
          <cell r="B327">
            <v>4594.63</v>
          </cell>
        </row>
        <row r="328">
          <cell r="A328">
            <v>45260</v>
          </cell>
          <cell r="B328">
            <v>4567.8</v>
          </cell>
        </row>
        <row r="329">
          <cell r="A329">
            <v>45259</v>
          </cell>
          <cell r="B329">
            <v>4550.58</v>
          </cell>
        </row>
        <row r="330">
          <cell r="A330">
            <v>45258</v>
          </cell>
          <cell r="B330">
            <v>4554.8900000000003</v>
          </cell>
        </row>
        <row r="331">
          <cell r="A331">
            <v>45257</v>
          </cell>
          <cell r="B331">
            <v>4550.43</v>
          </cell>
        </row>
        <row r="332">
          <cell r="A332">
            <v>45254</v>
          </cell>
          <cell r="B332">
            <v>4559.34</v>
          </cell>
        </row>
        <row r="333">
          <cell r="A333">
            <v>45252</v>
          </cell>
          <cell r="B333">
            <v>4556.62</v>
          </cell>
        </row>
        <row r="334">
          <cell r="A334">
            <v>45251</v>
          </cell>
          <cell r="B334">
            <v>4538.1899999999996</v>
          </cell>
        </row>
        <row r="335">
          <cell r="A335">
            <v>45250</v>
          </cell>
          <cell r="B335">
            <v>4547.38</v>
          </cell>
        </row>
        <row r="336">
          <cell r="A336">
            <v>45247</v>
          </cell>
          <cell r="B336">
            <v>4514.0200000000004</v>
          </cell>
        </row>
        <row r="337">
          <cell r="A337">
            <v>45246</v>
          </cell>
          <cell r="B337">
            <v>4508.24</v>
          </cell>
        </row>
        <row r="338">
          <cell r="A338">
            <v>45245</v>
          </cell>
          <cell r="B338">
            <v>4502.88</v>
          </cell>
        </row>
        <row r="339">
          <cell r="A339">
            <v>45244</v>
          </cell>
          <cell r="B339">
            <v>4495.7</v>
          </cell>
        </row>
        <row r="340">
          <cell r="A340">
            <v>45243</v>
          </cell>
          <cell r="B340">
            <v>4411.55</v>
          </cell>
        </row>
        <row r="341">
          <cell r="A341">
            <v>45240</v>
          </cell>
          <cell r="B341">
            <v>4415.24</v>
          </cell>
        </row>
        <row r="342">
          <cell r="A342">
            <v>45239</v>
          </cell>
          <cell r="B342">
            <v>4347.3500000000004</v>
          </cell>
        </row>
        <row r="343">
          <cell r="A343">
            <v>45238</v>
          </cell>
          <cell r="B343">
            <v>4382.78</v>
          </cell>
        </row>
        <row r="344">
          <cell r="A344">
            <v>45237</v>
          </cell>
          <cell r="B344">
            <v>4378.38</v>
          </cell>
        </row>
        <row r="345">
          <cell r="A345">
            <v>45236</v>
          </cell>
          <cell r="B345">
            <v>4365.9799999999996</v>
          </cell>
        </row>
        <row r="346">
          <cell r="A346">
            <v>45233</v>
          </cell>
          <cell r="B346">
            <v>4358.34</v>
          </cell>
        </row>
        <row r="347">
          <cell r="A347">
            <v>45232</v>
          </cell>
          <cell r="B347">
            <v>4317.78</v>
          </cell>
        </row>
        <row r="348">
          <cell r="A348">
            <v>45231</v>
          </cell>
          <cell r="B348">
            <v>4237.8599999999997</v>
          </cell>
        </row>
        <row r="349">
          <cell r="A349">
            <v>45230</v>
          </cell>
          <cell r="B349">
            <v>4193.8</v>
          </cell>
        </row>
        <row r="350">
          <cell r="A350">
            <v>45229</v>
          </cell>
          <cell r="B350">
            <v>4166.82</v>
          </cell>
        </row>
        <row r="351">
          <cell r="A351">
            <v>45226</v>
          </cell>
          <cell r="B351">
            <v>4117.37</v>
          </cell>
        </row>
        <row r="352">
          <cell r="A352">
            <v>45225</v>
          </cell>
          <cell r="B352">
            <v>4137.2299999999996</v>
          </cell>
        </row>
        <row r="353">
          <cell r="A353">
            <v>45224</v>
          </cell>
          <cell r="B353">
            <v>4186.7700000000004</v>
          </cell>
        </row>
        <row r="354">
          <cell r="A354">
            <v>45223</v>
          </cell>
          <cell r="B354">
            <v>4247.68</v>
          </cell>
        </row>
        <row r="355">
          <cell r="A355">
            <v>45222</v>
          </cell>
          <cell r="B355">
            <v>4217.04</v>
          </cell>
        </row>
        <row r="356">
          <cell r="A356">
            <v>45219</v>
          </cell>
          <cell r="B356">
            <v>4224.16</v>
          </cell>
        </row>
        <row r="357">
          <cell r="A357">
            <v>45218</v>
          </cell>
          <cell r="B357">
            <v>4278</v>
          </cell>
        </row>
        <row r="358">
          <cell r="A358">
            <v>45217</v>
          </cell>
          <cell r="B358">
            <v>4314.6000000000004</v>
          </cell>
        </row>
        <row r="359">
          <cell r="A359">
            <v>45216</v>
          </cell>
          <cell r="B359">
            <v>4373.2</v>
          </cell>
        </row>
        <row r="360">
          <cell r="A360">
            <v>45215</v>
          </cell>
          <cell r="B360">
            <v>4373.63</v>
          </cell>
        </row>
        <row r="361">
          <cell r="A361">
            <v>45212</v>
          </cell>
          <cell r="B361">
            <v>4327.78</v>
          </cell>
        </row>
        <row r="362">
          <cell r="A362">
            <v>45211</v>
          </cell>
          <cell r="B362">
            <v>4349.6099999999997</v>
          </cell>
        </row>
        <row r="363">
          <cell r="A363">
            <v>45210</v>
          </cell>
          <cell r="B363">
            <v>4376.95</v>
          </cell>
        </row>
        <row r="364">
          <cell r="A364">
            <v>45209</v>
          </cell>
          <cell r="B364">
            <v>4358.24</v>
          </cell>
        </row>
        <row r="365">
          <cell r="A365">
            <v>45208</v>
          </cell>
          <cell r="B365">
            <v>4335.66</v>
          </cell>
        </row>
        <row r="366">
          <cell r="A366">
            <v>45205</v>
          </cell>
          <cell r="B366">
            <v>4308.5</v>
          </cell>
        </row>
        <row r="367">
          <cell r="A367">
            <v>45204</v>
          </cell>
          <cell r="B367">
            <v>4258.1899999999996</v>
          </cell>
        </row>
        <row r="368">
          <cell r="A368">
            <v>45203</v>
          </cell>
          <cell r="B368">
            <v>4263.75</v>
          </cell>
        </row>
        <row r="369">
          <cell r="A369">
            <v>45202</v>
          </cell>
          <cell r="B369">
            <v>4229.45</v>
          </cell>
        </row>
        <row r="370">
          <cell r="A370">
            <v>45201</v>
          </cell>
          <cell r="B370">
            <v>4288.3900000000003</v>
          </cell>
        </row>
        <row r="371">
          <cell r="A371">
            <v>45198</v>
          </cell>
          <cell r="B371">
            <v>4288.05</v>
          </cell>
        </row>
        <row r="372">
          <cell r="A372">
            <v>45197</v>
          </cell>
          <cell r="B372">
            <v>4299.7</v>
          </cell>
        </row>
        <row r="373">
          <cell r="A373">
            <v>45196</v>
          </cell>
          <cell r="B373">
            <v>4274.51</v>
          </cell>
        </row>
        <row r="374">
          <cell r="A374">
            <v>45195</v>
          </cell>
          <cell r="B374">
            <v>4273.53</v>
          </cell>
        </row>
        <row r="375">
          <cell r="A375">
            <v>45194</v>
          </cell>
          <cell r="B375">
            <v>4337.4399999999996</v>
          </cell>
        </row>
        <row r="376">
          <cell r="A376">
            <v>45191</v>
          </cell>
          <cell r="B376">
            <v>4320.0600000000004</v>
          </cell>
        </row>
        <row r="377">
          <cell r="A377">
            <v>45190</v>
          </cell>
          <cell r="B377">
            <v>4330</v>
          </cell>
        </row>
        <row r="378">
          <cell r="A378">
            <v>45189</v>
          </cell>
          <cell r="B378">
            <v>4402.2</v>
          </cell>
        </row>
        <row r="379">
          <cell r="A379">
            <v>45188</v>
          </cell>
          <cell r="B379">
            <v>4443.95</v>
          </cell>
        </row>
        <row r="380">
          <cell r="A380">
            <v>45187</v>
          </cell>
          <cell r="B380">
            <v>4453.53</v>
          </cell>
        </row>
        <row r="381">
          <cell r="A381">
            <v>45184</v>
          </cell>
          <cell r="B381">
            <v>4450.32</v>
          </cell>
        </row>
        <row r="382">
          <cell r="A382">
            <v>45183</v>
          </cell>
          <cell r="B382">
            <v>4505.1000000000004</v>
          </cell>
        </row>
        <row r="383">
          <cell r="A383">
            <v>45182</v>
          </cell>
          <cell r="B383">
            <v>4467.4399999999996</v>
          </cell>
        </row>
        <row r="384">
          <cell r="A384">
            <v>45181</v>
          </cell>
          <cell r="B384">
            <v>4461.8999999999996</v>
          </cell>
        </row>
        <row r="385">
          <cell r="A385">
            <v>45180</v>
          </cell>
          <cell r="B385">
            <v>4487.46</v>
          </cell>
        </row>
        <row r="386">
          <cell r="A386">
            <v>45177</v>
          </cell>
          <cell r="B386">
            <v>4457.49</v>
          </cell>
        </row>
        <row r="387">
          <cell r="A387">
            <v>45176</v>
          </cell>
          <cell r="B387">
            <v>4451.1400000000003</v>
          </cell>
        </row>
        <row r="388">
          <cell r="A388">
            <v>45175</v>
          </cell>
          <cell r="B388">
            <v>4465.4799999999996</v>
          </cell>
        </row>
        <row r="389">
          <cell r="A389">
            <v>45174</v>
          </cell>
          <cell r="B389">
            <v>4496.83</v>
          </cell>
        </row>
        <row r="390">
          <cell r="A390">
            <v>45170</v>
          </cell>
          <cell r="B390">
            <v>4515.7700000000004</v>
          </cell>
        </row>
        <row r="391">
          <cell r="A391">
            <v>45169</v>
          </cell>
          <cell r="B391">
            <v>4507.66</v>
          </cell>
        </row>
        <row r="392">
          <cell r="A392">
            <v>45168</v>
          </cell>
          <cell r="B392">
            <v>4514.87</v>
          </cell>
        </row>
        <row r="393">
          <cell r="A393">
            <v>45167</v>
          </cell>
          <cell r="B393">
            <v>4497.63</v>
          </cell>
        </row>
        <row r="394">
          <cell r="A394">
            <v>45166</v>
          </cell>
          <cell r="B394">
            <v>4433.3100000000004</v>
          </cell>
        </row>
        <row r="395">
          <cell r="A395">
            <v>45163</v>
          </cell>
          <cell r="B395">
            <v>4405.71</v>
          </cell>
        </row>
        <row r="396">
          <cell r="A396">
            <v>45162</v>
          </cell>
          <cell r="B396">
            <v>4376.3100000000004</v>
          </cell>
        </row>
        <row r="397">
          <cell r="A397">
            <v>45161</v>
          </cell>
          <cell r="B397">
            <v>4436.01</v>
          </cell>
        </row>
        <row r="398">
          <cell r="A398">
            <v>45160</v>
          </cell>
          <cell r="B398">
            <v>4387.55</v>
          </cell>
        </row>
        <row r="399">
          <cell r="A399">
            <v>45159</v>
          </cell>
          <cell r="B399">
            <v>4399.7700000000004</v>
          </cell>
        </row>
        <row r="400">
          <cell r="A400">
            <v>45156</v>
          </cell>
          <cell r="B400">
            <v>4369.71</v>
          </cell>
        </row>
        <row r="401">
          <cell r="A401">
            <v>45155</v>
          </cell>
          <cell r="B401">
            <v>4370.3599999999997</v>
          </cell>
        </row>
        <row r="402">
          <cell r="A402">
            <v>45154</v>
          </cell>
          <cell r="B402">
            <v>4404.33</v>
          </cell>
        </row>
        <row r="403">
          <cell r="A403">
            <v>45153</v>
          </cell>
          <cell r="B403">
            <v>4437.8599999999997</v>
          </cell>
        </row>
        <row r="404">
          <cell r="A404">
            <v>45152</v>
          </cell>
          <cell r="B404">
            <v>4489.72</v>
          </cell>
        </row>
        <row r="405">
          <cell r="A405">
            <v>45149</v>
          </cell>
          <cell r="B405">
            <v>4464.05</v>
          </cell>
        </row>
        <row r="406">
          <cell r="A406">
            <v>45148</v>
          </cell>
          <cell r="B406">
            <v>4468.83</v>
          </cell>
        </row>
        <row r="407">
          <cell r="A407">
            <v>45147</v>
          </cell>
          <cell r="B407">
            <v>4467.71</v>
          </cell>
        </row>
        <row r="408">
          <cell r="A408">
            <v>45146</v>
          </cell>
          <cell r="B408">
            <v>4499.38</v>
          </cell>
        </row>
        <row r="409">
          <cell r="A409">
            <v>45145</v>
          </cell>
          <cell r="B409">
            <v>4518.4399999999996</v>
          </cell>
        </row>
        <row r="410">
          <cell r="A410">
            <v>45142</v>
          </cell>
          <cell r="B410">
            <v>4478.03</v>
          </cell>
        </row>
        <row r="411">
          <cell r="A411">
            <v>45141</v>
          </cell>
          <cell r="B411">
            <v>4501.8900000000003</v>
          </cell>
        </row>
        <row r="412">
          <cell r="A412">
            <v>45140</v>
          </cell>
          <cell r="B412">
            <v>4513.3900000000003</v>
          </cell>
        </row>
        <row r="413">
          <cell r="A413">
            <v>45139</v>
          </cell>
          <cell r="B413">
            <v>4576.7299999999996</v>
          </cell>
        </row>
        <row r="414">
          <cell r="A414">
            <v>45138</v>
          </cell>
          <cell r="B414">
            <v>4588.96</v>
          </cell>
        </row>
        <row r="415">
          <cell r="A415">
            <v>45135</v>
          </cell>
          <cell r="B415">
            <v>4582.2299999999996</v>
          </cell>
        </row>
        <row r="416">
          <cell r="A416">
            <v>45134</v>
          </cell>
          <cell r="B416">
            <v>4537.41</v>
          </cell>
        </row>
        <row r="417">
          <cell r="A417">
            <v>45133</v>
          </cell>
          <cell r="B417">
            <v>4566.75</v>
          </cell>
        </row>
        <row r="418">
          <cell r="A418">
            <v>45132</v>
          </cell>
          <cell r="B418">
            <v>4567.46</v>
          </cell>
        </row>
        <row r="419">
          <cell r="A419">
            <v>45131</v>
          </cell>
          <cell r="B419">
            <v>4554.6400000000003</v>
          </cell>
        </row>
        <row r="420">
          <cell r="A420">
            <v>45128</v>
          </cell>
          <cell r="B420">
            <v>4536.34</v>
          </cell>
        </row>
        <row r="421">
          <cell r="A421">
            <v>45127</v>
          </cell>
          <cell r="B421">
            <v>4534.87</v>
          </cell>
        </row>
        <row r="422">
          <cell r="A422">
            <v>45126</v>
          </cell>
          <cell r="B422">
            <v>4565.72</v>
          </cell>
        </row>
        <row r="423">
          <cell r="A423">
            <v>45125</v>
          </cell>
          <cell r="B423">
            <v>4554.9799999999996</v>
          </cell>
        </row>
        <row r="424">
          <cell r="A424">
            <v>45124</v>
          </cell>
          <cell r="B424">
            <v>4522.79</v>
          </cell>
        </row>
        <row r="425">
          <cell r="A425">
            <v>45121</v>
          </cell>
          <cell r="B425">
            <v>4505.42</v>
          </cell>
        </row>
        <row r="426">
          <cell r="A426">
            <v>45120</v>
          </cell>
          <cell r="B426">
            <v>4510.04</v>
          </cell>
        </row>
        <row r="427">
          <cell r="A427">
            <v>45119</v>
          </cell>
          <cell r="B427">
            <v>4472.16</v>
          </cell>
        </row>
        <row r="428">
          <cell r="A428">
            <v>45118</v>
          </cell>
          <cell r="B428">
            <v>4439.26</v>
          </cell>
        </row>
        <row r="429">
          <cell r="A429">
            <v>45117</v>
          </cell>
          <cell r="B429">
            <v>4409.53</v>
          </cell>
        </row>
        <row r="430">
          <cell r="A430">
            <v>45114</v>
          </cell>
          <cell r="B430">
            <v>4398.95</v>
          </cell>
        </row>
        <row r="431">
          <cell r="A431">
            <v>45113</v>
          </cell>
          <cell r="B431">
            <v>4411.59</v>
          </cell>
        </row>
        <row r="432">
          <cell r="A432">
            <v>45112</v>
          </cell>
          <cell r="B432">
            <v>4446.82</v>
          </cell>
        </row>
        <row r="433">
          <cell r="A433">
            <v>45110</v>
          </cell>
          <cell r="B433">
            <v>4455.59</v>
          </cell>
        </row>
        <row r="434">
          <cell r="A434">
            <v>45107</v>
          </cell>
          <cell r="B434">
            <v>4450.38</v>
          </cell>
        </row>
        <row r="435">
          <cell r="A435">
            <v>45106</v>
          </cell>
          <cell r="B435">
            <v>4396.4399999999996</v>
          </cell>
        </row>
        <row r="436">
          <cell r="A436">
            <v>45105</v>
          </cell>
          <cell r="B436">
            <v>4376.8599999999997</v>
          </cell>
        </row>
        <row r="437">
          <cell r="A437">
            <v>45104</v>
          </cell>
          <cell r="B437">
            <v>4378.41</v>
          </cell>
        </row>
        <row r="438">
          <cell r="A438">
            <v>45103</v>
          </cell>
          <cell r="B438">
            <v>4328.82</v>
          </cell>
        </row>
        <row r="439">
          <cell r="A439">
            <v>45100</v>
          </cell>
          <cell r="B439">
            <v>4348.33</v>
          </cell>
        </row>
        <row r="440">
          <cell r="A440">
            <v>45099</v>
          </cell>
          <cell r="B440">
            <v>4381.8900000000003</v>
          </cell>
        </row>
        <row r="441">
          <cell r="A441">
            <v>45098</v>
          </cell>
          <cell r="B441">
            <v>4365.6899999999996</v>
          </cell>
        </row>
        <row r="442">
          <cell r="A442">
            <v>45097</v>
          </cell>
          <cell r="B442">
            <v>4388.71</v>
          </cell>
        </row>
        <row r="443">
          <cell r="A443">
            <v>45093</v>
          </cell>
          <cell r="B443">
            <v>4409.59</v>
          </cell>
        </row>
        <row r="444">
          <cell r="A444">
            <v>45092</v>
          </cell>
          <cell r="B444">
            <v>4425.84</v>
          </cell>
        </row>
        <row r="445">
          <cell r="A445">
            <v>45091</v>
          </cell>
          <cell r="B445">
            <v>4372.59</v>
          </cell>
        </row>
        <row r="446">
          <cell r="A446">
            <v>45090</v>
          </cell>
          <cell r="B446">
            <v>4369.01</v>
          </cell>
        </row>
        <row r="447">
          <cell r="A447">
            <v>45089</v>
          </cell>
          <cell r="B447">
            <v>4338.93</v>
          </cell>
        </row>
        <row r="448">
          <cell r="A448">
            <v>45086</v>
          </cell>
          <cell r="B448">
            <v>4298.8599999999997</v>
          </cell>
        </row>
        <row r="449">
          <cell r="A449">
            <v>45085</v>
          </cell>
          <cell r="B449">
            <v>4293.93</v>
          </cell>
        </row>
        <row r="450">
          <cell r="A450">
            <v>45084</v>
          </cell>
          <cell r="B450">
            <v>4267.5200000000004</v>
          </cell>
        </row>
        <row r="451">
          <cell r="A451">
            <v>45083</v>
          </cell>
          <cell r="B451">
            <v>4283.8500000000004</v>
          </cell>
        </row>
        <row r="452">
          <cell r="A452">
            <v>45082</v>
          </cell>
          <cell r="B452">
            <v>4273.79</v>
          </cell>
        </row>
        <row r="453">
          <cell r="A453">
            <v>45079</v>
          </cell>
          <cell r="B453">
            <v>4282.37</v>
          </cell>
        </row>
        <row r="454">
          <cell r="A454">
            <v>45078</v>
          </cell>
          <cell r="B454">
            <v>4221.0200000000004</v>
          </cell>
        </row>
        <row r="455">
          <cell r="A455">
            <v>45077</v>
          </cell>
          <cell r="B455">
            <v>4179.83</v>
          </cell>
        </row>
        <row r="456">
          <cell r="A456">
            <v>45076</v>
          </cell>
          <cell r="B456">
            <v>4205.5200000000004</v>
          </cell>
        </row>
        <row r="457">
          <cell r="A457">
            <v>45072</v>
          </cell>
          <cell r="B457">
            <v>4205.45</v>
          </cell>
        </row>
        <row r="458">
          <cell r="A458">
            <v>45071</v>
          </cell>
          <cell r="B458">
            <v>4151.28</v>
          </cell>
        </row>
        <row r="459">
          <cell r="A459">
            <v>45070</v>
          </cell>
          <cell r="B459">
            <v>4115.24</v>
          </cell>
        </row>
        <row r="460">
          <cell r="A460">
            <v>45069</v>
          </cell>
          <cell r="B460">
            <v>4145.58</v>
          </cell>
        </row>
        <row r="461">
          <cell r="A461">
            <v>45068</v>
          </cell>
          <cell r="B461">
            <v>4192.63</v>
          </cell>
        </row>
        <row r="462">
          <cell r="A462">
            <v>45065</v>
          </cell>
          <cell r="B462">
            <v>4191.9799999999996</v>
          </cell>
        </row>
        <row r="463">
          <cell r="A463">
            <v>45064</v>
          </cell>
          <cell r="B463">
            <v>4198.05</v>
          </cell>
        </row>
        <row r="464">
          <cell r="A464">
            <v>45063</v>
          </cell>
          <cell r="B464">
            <v>4158.7700000000004</v>
          </cell>
        </row>
        <row r="465">
          <cell r="A465">
            <v>45062</v>
          </cell>
          <cell r="B465">
            <v>4109.8999999999996</v>
          </cell>
        </row>
        <row r="466">
          <cell r="A466">
            <v>45061</v>
          </cell>
          <cell r="B466">
            <v>4136.28</v>
          </cell>
        </row>
        <row r="467">
          <cell r="A467">
            <v>45058</v>
          </cell>
          <cell r="B467">
            <v>4124.08</v>
          </cell>
        </row>
        <row r="468">
          <cell r="A468">
            <v>45057</v>
          </cell>
          <cell r="B468">
            <v>4130.62</v>
          </cell>
        </row>
        <row r="469">
          <cell r="A469">
            <v>45056</v>
          </cell>
          <cell r="B469">
            <v>4137.6400000000003</v>
          </cell>
        </row>
        <row r="470">
          <cell r="A470">
            <v>45055</v>
          </cell>
          <cell r="B470">
            <v>4119.17</v>
          </cell>
        </row>
        <row r="471">
          <cell r="A471">
            <v>45054</v>
          </cell>
          <cell r="B471">
            <v>4138.12</v>
          </cell>
        </row>
        <row r="472">
          <cell r="A472">
            <v>45051</v>
          </cell>
          <cell r="B472">
            <v>4136.25</v>
          </cell>
        </row>
        <row r="473">
          <cell r="A473">
            <v>45050</v>
          </cell>
          <cell r="B473">
            <v>4061.22</v>
          </cell>
        </row>
        <row r="474">
          <cell r="A474">
            <v>45049</v>
          </cell>
          <cell r="B474">
            <v>4090.75</v>
          </cell>
        </row>
        <row r="475">
          <cell r="A475">
            <v>45048</v>
          </cell>
          <cell r="B475">
            <v>4119.58</v>
          </cell>
        </row>
        <row r="476">
          <cell r="A476">
            <v>45047</v>
          </cell>
          <cell r="B476">
            <v>4167.87</v>
          </cell>
        </row>
        <row r="477">
          <cell r="A477">
            <v>45044</v>
          </cell>
          <cell r="B477">
            <v>4169.4799999999996</v>
          </cell>
        </row>
        <row r="478">
          <cell r="A478">
            <v>45043</v>
          </cell>
          <cell r="B478">
            <v>4135.3500000000004</v>
          </cell>
        </row>
        <row r="479">
          <cell r="A479">
            <v>45042</v>
          </cell>
          <cell r="B479">
            <v>4055.99</v>
          </cell>
        </row>
        <row r="480">
          <cell r="A480">
            <v>45041</v>
          </cell>
          <cell r="B480">
            <v>4071.63</v>
          </cell>
        </row>
        <row r="481">
          <cell r="A481">
            <v>45040</v>
          </cell>
          <cell r="B481">
            <v>4137.04</v>
          </cell>
        </row>
        <row r="482">
          <cell r="A482">
            <v>45037</v>
          </cell>
          <cell r="B482">
            <v>4133.5200000000004</v>
          </cell>
        </row>
        <row r="483">
          <cell r="A483">
            <v>45036</v>
          </cell>
          <cell r="B483">
            <v>4129.79</v>
          </cell>
        </row>
        <row r="484">
          <cell r="A484">
            <v>45035</v>
          </cell>
          <cell r="B484">
            <v>4154.5200000000004</v>
          </cell>
        </row>
        <row r="485">
          <cell r="A485">
            <v>45034</v>
          </cell>
          <cell r="B485">
            <v>4154.87</v>
          </cell>
        </row>
        <row r="486">
          <cell r="A486">
            <v>45033</v>
          </cell>
          <cell r="B486">
            <v>4151.32</v>
          </cell>
        </row>
        <row r="487">
          <cell r="A487">
            <v>45030</v>
          </cell>
          <cell r="B487">
            <v>4137.6400000000003</v>
          </cell>
        </row>
        <row r="488">
          <cell r="A488">
            <v>45029</v>
          </cell>
          <cell r="B488">
            <v>4146.22</v>
          </cell>
        </row>
        <row r="489">
          <cell r="A489">
            <v>45028</v>
          </cell>
          <cell r="B489">
            <v>4091.95</v>
          </cell>
        </row>
        <row r="490">
          <cell r="A490">
            <v>45027</v>
          </cell>
          <cell r="B490">
            <v>4108.9399999999996</v>
          </cell>
        </row>
        <row r="491">
          <cell r="A491">
            <v>45026</v>
          </cell>
          <cell r="B491">
            <v>4109.1099999999997</v>
          </cell>
        </row>
        <row r="492">
          <cell r="A492">
            <v>45022</v>
          </cell>
          <cell r="B492">
            <v>4105.0200000000004</v>
          </cell>
        </row>
        <row r="493">
          <cell r="A493">
            <v>45021</v>
          </cell>
          <cell r="B493">
            <v>4090.38</v>
          </cell>
        </row>
        <row r="494">
          <cell r="A494">
            <v>45020</v>
          </cell>
          <cell r="B494">
            <v>4100.6000000000004</v>
          </cell>
        </row>
        <row r="495">
          <cell r="A495">
            <v>45019</v>
          </cell>
          <cell r="B495">
            <v>4124.51</v>
          </cell>
        </row>
        <row r="496">
          <cell r="A496">
            <v>45016</v>
          </cell>
          <cell r="B496">
            <v>4109.3100000000004</v>
          </cell>
        </row>
        <row r="497">
          <cell r="A497">
            <v>45015</v>
          </cell>
          <cell r="B497">
            <v>4050.83</v>
          </cell>
        </row>
        <row r="498">
          <cell r="A498">
            <v>45014</v>
          </cell>
          <cell r="B498">
            <v>4027.81</v>
          </cell>
        </row>
        <row r="499">
          <cell r="A499">
            <v>45013</v>
          </cell>
          <cell r="B499">
            <v>3971.27</v>
          </cell>
        </row>
        <row r="500">
          <cell r="A500">
            <v>45012</v>
          </cell>
          <cell r="B500">
            <v>3977.53</v>
          </cell>
        </row>
        <row r="501">
          <cell r="A501">
            <v>45009</v>
          </cell>
          <cell r="B501">
            <v>3970.99</v>
          </cell>
        </row>
        <row r="502">
          <cell r="A502">
            <v>45008</v>
          </cell>
          <cell r="B502">
            <v>3948.72</v>
          </cell>
        </row>
        <row r="503">
          <cell r="A503">
            <v>45007</v>
          </cell>
          <cell r="B503">
            <v>3936.97</v>
          </cell>
        </row>
        <row r="504">
          <cell r="A504">
            <v>45006</v>
          </cell>
          <cell r="B504">
            <v>4002.87</v>
          </cell>
        </row>
        <row r="505">
          <cell r="A505">
            <v>45005</v>
          </cell>
          <cell r="B505">
            <v>3951.57</v>
          </cell>
        </row>
        <row r="506">
          <cell r="A506">
            <v>45002</v>
          </cell>
          <cell r="B506">
            <v>3916.64</v>
          </cell>
        </row>
        <row r="507">
          <cell r="A507">
            <v>45001</v>
          </cell>
          <cell r="B507">
            <v>3960.28</v>
          </cell>
        </row>
        <row r="508">
          <cell r="A508">
            <v>45000</v>
          </cell>
          <cell r="B508">
            <v>3891.93</v>
          </cell>
        </row>
        <row r="509">
          <cell r="A509">
            <v>44999</v>
          </cell>
          <cell r="B509">
            <v>3919.29</v>
          </cell>
        </row>
        <row r="510">
          <cell r="A510">
            <v>44998</v>
          </cell>
          <cell r="B510">
            <v>3855.76</v>
          </cell>
        </row>
        <row r="511">
          <cell r="A511">
            <v>44995</v>
          </cell>
          <cell r="B511">
            <v>3861.59</v>
          </cell>
        </row>
        <row r="512">
          <cell r="A512">
            <v>44994</v>
          </cell>
          <cell r="B512">
            <v>3918.32</v>
          </cell>
        </row>
        <row r="513">
          <cell r="A513">
            <v>44993</v>
          </cell>
          <cell r="B513">
            <v>3992.01</v>
          </cell>
        </row>
        <row r="514">
          <cell r="A514">
            <v>44992</v>
          </cell>
          <cell r="B514">
            <v>3986.37</v>
          </cell>
        </row>
        <row r="515">
          <cell r="A515">
            <v>44991</v>
          </cell>
          <cell r="B515">
            <v>4048.42</v>
          </cell>
        </row>
        <row r="516">
          <cell r="A516">
            <v>44988</v>
          </cell>
          <cell r="B516">
            <v>4045.64</v>
          </cell>
        </row>
        <row r="517">
          <cell r="A517">
            <v>44987</v>
          </cell>
          <cell r="B517">
            <v>3981.35</v>
          </cell>
        </row>
        <row r="518">
          <cell r="A518">
            <v>44986</v>
          </cell>
          <cell r="B518">
            <v>3951.39</v>
          </cell>
        </row>
        <row r="519">
          <cell r="A519">
            <v>44985</v>
          </cell>
          <cell r="B519">
            <v>3970.15</v>
          </cell>
        </row>
        <row r="520">
          <cell r="A520">
            <v>44984</v>
          </cell>
          <cell r="B520">
            <v>3982.24</v>
          </cell>
        </row>
        <row r="521">
          <cell r="A521">
            <v>44981</v>
          </cell>
          <cell r="B521">
            <v>3970.04</v>
          </cell>
        </row>
        <row r="522">
          <cell r="A522">
            <v>44980</v>
          </cell>
          <cell r="B522">
            <v>4012.32</v>
          </cell>
        </row>
        <row r="523">
          <cell r="A523">
            <v>44979</v>
          </cell>
          <cell r="B523">
            <v>3991.05</v>
          </cell>
        </row>
        <row r="524">
          <cell r="A524">
            <v>44978</v>
          </cell>
          <cell r="B524">
            <v>3997.34</v>
          </cell>
        </row>
        <row r="525">
          <cell r="A525">
            <v>44974</v>
          </cell>
          <cell r="B525">
            <v>4079.09</v>
          </cell>
        </row>
        <row r="526">
          <cell r="A526">
            <v>44973</v>
          </cell>
          <cell r="B526">
            <v>4090.41</v>
          </cell>
        </row>
        <row r="527">
          <cell r="A527">
            <v>44972</v>
          </cell>
          <cell r="B527">
            <v>4147.6000000000004</v>
          </cell>
        </row>
        <row r="528">
          <cell r="A528">
            <v>44971</v>
          </cell>
          <cell r="B528">
            <v>4136.13</v>
          </cell>
        </row>
        <row r="529">
          <cell r="A529">
            <v>44970</v>
          </cell>
          <cell r="B529">
            <v>4137.29</v>
          </cell>
        </row>
        <row r="530">
          <cell r="A530">
            <v>44967</v>
          </cell>
          <cell r="B530">
            <v>4090.46</v>
          </cell>
        </row>
        <row r="531">
          <cell r="A531">
            <v>44966</v>
          </cell>
          <cell r="B531">
            <v>4081.5</v>
          </cell>
        </row>
        <row r="532">
          <cell r="A532">
            <v>44965</v>
          </cell>
          <cell r="B532">
            <v>4117.8599999999997</v>
          </cell>
        </row>
        <row r="533">
          <cell r="A533">
            <v>44964</v>
          </cell>
          <cell r="B533">
            <v>4164</v>
          </cell>
        </row>
        <row r="534">
          <cell r="A534">
            <v>44963</v>
          </cell>
          <cell r="B534">
            <v>4111.08</v>
          </cell>
        </row>
        <row r="535">
          <cell r="A535">
            <v>44960</v>
          </cell>
          <cell r="B535">
            <v>4136.4799999999996</v>
          </cell>
        </row>
        <row r="536">
          <cell r="A536">
            <v>44959</v>
          </cell>
          <cell r="B536">
            <v>4179.76</v>
          </cell>
        </row>
        <row r="537">
          <cell r="A537">
            <v>44958</v>
          </cell>
          <cell r="B537">
            <v>4119.21</v>
          </cell>
        </row>
        <row r="538">
          <cell r="A538">
            <v>44957</v>
          </cell>
          <cell r="B538">
            <v>4076.6</v>
          </cell>
        </row>
        <row r="539">
          <cell r="A539">
            <v>44956</v>
          </cell>
          <cell r="B539">
            <v>4017.77</v>
          </cell>
        </row>
        <row r="540">
          <cell r="A540">
            <v>44953</v>
          </cell>
          <cell r="B540">
            <v>4070.56</v>
          </cell>
        </row>
        <row r="541">
          <cell r="A541">
            <v>44952</v>
          </cell>
          <cell r="B541">
            <v>4060.43</v>
          </cell>
        </row>
        <row r="542">
          <cell r="A542">
            <v>44951</v>
          </cell>
          <cell r="B542">
            <v>4016.22</v>
          </cell>
        </row>
        <row r="543">
          <cell r="A543">
            <v>44950</v>
          </cell>
          <cell r="B543">
            <v>4016.95</v>
          </cell>
        </row>
        <row r="544">
          <cell r="A544">
            <v>44949</v>
          </cell>
          <cell r="B544">
            <v>4019.81</v>
          </cell>
        </row>
        <row r="545">
          <cell r="A545">
            <v>44946</v>
          </cell>
          <cell r="B545">
            <v>3972.61</v>
          </cell>
        </row>
        <row r="546">
          <cell r="A546">
            <v>44945</v>
          </cell>
          <cell r="B546">
            <v>3898.85</v>
          </cell>
        </row>
        <row r="547">
          <cell r="A547">
            <v>44944</v>
          </cell>
          <cell r="B547">
            <v>3928.86</v>
          </cell>
        </row>
        <row r="548">
          <cell r="A548">
            <v>44943</v>
          </cell>
          <cell r="B548">
            <v>3990.97</v>
          </cell>
        </row>
        <row r="549">
          <cell r="A549">
            <v>44939</v>
          </cell>
          <cell r="B549">
            <v>3999.09</v>
          </cell>
        </row>
        <row r="550">
          <cell r="A550">
            <v>44938</v>
          </cell>
          <cell r="B550">
            <v>3983.17</v>
          </cell>
        </row>
        <row r="551">
          <cell r="A551">
            <v>44937</v>
          </cell>
          <cell r="B551">
            <v>3969.61</v>
          </cell>
        </row>
        <row r="552">
          <cell r="A552">
            <v>44936</v>
          </cell>
          <cell r="B552">
            <v>3919.25</v>
          </cell>
        </row>
        <row r="553">
          <cell r="A553">
            <v>44935</v>
          </cell>
          <cell r="B553">
            <v>3892.09</v>
          </cell>
        </row>
        <row r="554">
          <cell r="A554">
            <v>44932</v>
          </cell>
          <cell r="B554">
            <v>3895.08</v>
          </cell>
        </row>
        <row r="555">
          <cell r="A555">
            <v>44931</v>
          </cell>
          <cell r="B555">
            <v>3808.1</v>
          </cell>
        </row>
        <row r="556">
          <cell r="A556">
            <v>44930</v>
          </cell>
          <cell r="B556">
            <v>3852.97</v>
          </cell>
        </row>
        <row r="557">
          <cell r="A557">
            <v>44929</v>
          </cell>
          <cell r="B557">
            <v>3824.14</v>
          </cell>
        </row>
        <row r="558">
          <cell r="A558">
            <v>44925</v>
          </cell>
          <cell r="B558">
            <v>3839.5</v>
          </cell>
        </row>
        <row r="559">
          <cell r="A559">
            <v>44924</v>
          </cell>
          <cell r="B559">
            <v>3849.28</v>
          </cell>
        </row>
        <row r="560">
          <cell r="A560">
            <v>44923</v>
          </cell>
          <cell r="B560">
            <v>3783.22</v>
          </cell>
        </row>
        <row r="561">
          <cell r="A561">
            <v>44922</v>
          </cell>
          <cell r="B561">
            <v>3829.25</v>
          </cell>
        </row>
        <row r="562">
          <cell r="A562">
            <v>44918</v>
          </cell>
          <cell r="B562">
            <v>3844.82</v>
          </cell>
        </row>
        <row r="563">
          <cell r="A563">
            <v>44917</v>
          </cell>
          <cell r="B563">
            <v>3822.39</v>
          </cell>
        </row>
        <row r="564">
          <cell r="A564">
            <v>44916</v>
          </cell>
          <cell r="B564">
            <v>3878.44</v>
          </cell>
        </row>
        <row r="565">
          <cell r="A565">
            <v>44915</v>
          </cell>
          <cell r="B565">
            <v>3821.62</v>
          </cell>
        </row>
        <row r="566">
          <cell r="A566">
            <v>44914</v>
          </cell>
          <cell r="B566">
            <v>3817.66</v>
          </cell>
        </row>
        <row r="567">
          <cell r="A567">
            <v>44911</v>
          </cell>
          <cell r="B567">
            <v>3852.36</v>
          </cell>
        </row>
        <row r="568">
          <cell r="A568">
            <v>44910</v>
          </cell>
          <cell r="B568">
            <v>3895.75</v>
          </cell>
        </row>
        <row r="569">
          <cell r="A569">
            <v>44909</v>
          </cell>
          <cell r="B569">
            <v>3995.32</v>
          </cell>
        </row>
        <row r="570">
          <cell r="A570">
            <v>44908</v>
          </cell>
          <cell r="B570">
            <v>4019.65</v>
          </cell>
        </row>
        <row r="571">
          <cell r="A571">
            <v>44907</v>
          </cell>
          <cell r="B571">
            <v>3990.56</v>
          </cell>
        </row>
        <row r="572">
          <cell r="A572">
            <v>44904</v>
          </cell>
          <cell r="B572">
            <v>3934.38</v>
          </cell>
        </row>
        <row r="573">
          <cell r="A573">
            <v>44903</v>
          </cell>
          <cell r="B573">
            <v>3963.51</v>
          </cell>
        </row>
        <row r="574">
          <cell r="A574">
            <v>44902</v>
          </cell>
          <cell r="B574">
            <v>3933.92</v>
          </cell>
        </row>
        <row r="575">
          <cell r="A575">
            <v>44901</v>
          </cell>
          <cell r="B575">
            <v>3941.26</v>
          </cell>
        </row>
        <row r="576">
          <cell r="A576">
            <v>44900</v>
          </cell>
          <cell r="B576">
            <v>3998.84</v>
          </cell>
        </row>
        <row r="577">
          <cell r="A577">
            <v>44897</v>
          </cell>
          <cell r="B577">
            <v>4071.7</v>
          </cell>
        </row>
        <row r="578">
          <cell r="A578">
            <v>44896</v>
          </cell>
          <cell r="B578">
            <v>4076.57</v>
          </cell>
        </row>
        <row r="579">
          <cell r="A579">
            <v>44895</v>
          </cell>
          <cell r="B579">
            <v>4080.11</v>
          </cell>
        </row>
        <row r="580">
          <cell r="A580">
            <v>44894</v>
          </cell>
          <cell r="B580">
            <v>3957.63</v>
          </cell>
        </row>
        <row r="581">
          <cell r="A581">
            <v>44893</v>
          </cell>
          <cell r="B581">
            <v>3963.94</v>
          </cell>
        </row>
        <row r="582">
          <cell r="A582">
            <v>44890</v>
          </cell>
          <cell r="B582">
            <v>4026.12</v>
          </cell>
        </row>
        <row r="583">
          <cell r="A583">
            <v>44888</v>
          </cell>
          <cell r="B583">
            <v>4027.26</v>
          </cell>
        </row>
        <row r="584">
          <cell r="A584">
            <v>44887</v>
          </cell>
          <cell r="B584">
            <v>4003.58</v>
          </cell>
        </row>
        <row r="585">
          <cell r="A585">
            <v>44886</v>
          </cell>
          <cell r="B585">
            <v>3949.94</v>
          </cell>
        </row>
        <row r="586">
          <cell r="A586">
            <v>44883</v>
          </cell>
          <cell r="B586">
            <v>3965.34</v>
          </cell>
        </row>
        <row r="587">
          <cell r="A587">
            <v>44882</v>
          </cell>
          <cell r="B587">
            <v>3946.56</v>
          </cell>
        </row>
        <row r="588">
          <cell r="A588">
            <v>44881</v>
          </cell>
          <cell r="B588">
            <v>3958.79</v>
          </cell>
        </row>
        <row r="589">
          <cell r="A589">
            <v>44880</v>
          </cell>
          <cell r="B589">
            <v>3991.73</v>
          </cell>
        </row>
        <row r="590">
          <cell r="A590">
            <v>44879</v>
          </cell>
          <cell r="B590">
            <v>3957.25</v>
          </cell>
        </row>
        <row r="591">
          <cell r="A591">
            <v>44876</v>
          </cell>
          <cell r="B591">
            <v>3992.93</v>
          </cell>
        </row>
        <row r="592">
          <cell r="A592">
            <v>44875</v>
          </cell>
          <cell r="B592">
            <v>3956.37</v>
          </cell>
        </row>
        <row r="593">
          <cell r="A593">
            <v>44874</v>
          </cell>
          <cell r="B593">
            <v>3748.57</v>
          </cell>
        </row>
        <row r="594">
          <cell r="A594">
            <v>44873</v>
          </cell>
          <cell r="B594">
            <v>3828.11</v>
          </cell>
        </row>
        <row r="595">
          <cell r="A595">
            <v>44872</v>
          </cell>
          <cell r="B595">
            <v>3806.8</v>
          </cell>
        </row>
        <row r="596">
          <cell r="A596">
            <v>44869</v>
          </cell>
          <cell r="B596">
            <v>3770.55</v>
          </cell>
        </row>
        <row r="597">
          <cell r="A597">
            <v>44868</v>
          </cell>
          <cell r="B597">
            <v>3719.89</v>
          </cell>
        </row>
        <row r="598">
          <cell r="A598">
            <v>44867</v>
          </cell>
          <cell r="B598">
            <v>3759.69</v>
          </cell>
        </row>
        <row r="599">
          <cell r="A599">
            <v>44866</v>
          </cell>
          <cell r="B599">
            <v>3856.1</v>
          </cell>
        </row>
        <row r="600">
          <cell r="A600">
            <v>44865</v>
          </cell>
          <cell r="B600">
            <v>3871.98</v>
          </cell>
        </row>
        <row r="601">
          <cell r="A601">
            <v>44862</v>
          </cell>
          <cell r="B601">
            <v>3901.06</v>
          </cell>
        </row>
        <row r="602">
          <cell r="A602">
            <v>44861</v>
          </cell>
          <cell r="B602">
            <v>3807.3</v>
          </cell>
        </row>
        <row r="603">
          <cell r="A603">
            <v>44860</v>
          </cell>
          <cell r="B603">
            <v>3830.6</v>
          </cell>
        </row>
        <row r="604">
          <cell r="A604">
            <v>44859</v>
          </cell>
          <cell r="B604">
            <v>3859.11</v>
          </cell>
        </row>
        <row r="605">
          <cell r="A605">
            <v>44858</v>
          </cell>
          <cell r="B605">
            <v>3797.34</v>
          </cell>
        </row>
        <row r="606">
          <cell r="A606">
            <v>44855</v>
          </cell>
          <cell r="B606">
            <v>3752.75</v>
          </cell>
        </row>
        <row r="607">
          <cell r="A607">
            <v>44854</v>
          </cell>
          <cell r="B607">
            <v>3665.78</v>
          </cell>
        </row>
        <row r="608">
          <cell r="A608">
            <v>44853</v>
          </cell>
          <cell r="B608">
            <v>3695.16</v>
          </cell>
        </row>
        <row r="609">
          <cell r="A609">
            <v>44852</v>
          </cell>
          <cell r="B609">
            <v>3719.98</v>
          </cell>
        </row>
        <row r="610">
          <cell r="A610">
            <v>44851</v>
          </cell>
          <cell r="B610">
            <v>3677.95</v>
          </cell>
        </row>
        <row r="611">
          <cell r="A611">
            <v>44848</v>
          </cell>
          <cell r="B611">
            <v>3583.07</v>
          </cell>
        </row>
        <row r="612">
          <cell r="A612">
            <v>44847</v>
          </cell>
          <cell r="B612">
            <v>3669.91</v>
          </cell>
        </row>
        <row r="613">
          <cell r="A613">
            <v>44846</v>
          </cell>
          <cell r="B613">
            <v>3577.03</v>
          </cell>
        </row>
        <row r="614">
          <cell r="A614">
            <v>44845</v>
          </cell>
          <cell r="B614">
            <v>3588.84</v>
          </cell>
        </row>
        <row r="615">
          <cell r="A615">
            <v>44844</v>
          </cell>
          <cell r="B615">
            <v>3612.39</v>
          </cell>
        </row>
        <row r="616">
          <cell r="A616">
            <v>44841</v>
          </cell>
          <cell r="B616">
            <v>3639.66</v>
          </cell>
        </row>
        <row r="617">
          <cell r="A617">
            <v>44840</v>
          </cell>
          <cell r="B617">
            <v>3744.52</v>
          </cell>
        </row>
        <row r="618">
          <cell r="A618">
            <v>44839</v>
          </cell>
          <cell r="B618">
            <v>3783.28</v>
          </cell>
        </row>
        <row r="619">
          <cell r="A619">
            <v>44838</v>
          </cell>
          <cell r="B619">
            <v>3790.93</v>
          </cell>
        </row>
        <row r="620">
          <cell r="A620">
            <v>44837</v>
          </cell>
          <cell r="B620">
            <v>3678.43</v>
          </cell>
        </row>
        <row r="621">
          <cell r="A621">
            <v>44834</v>
          </cell>
          <cell r="B621">
            <v>3585.62</v>
          </cell>
        </row>
        <row r="622">
          <cell r="A622">
            <v>44833</v>
          </cell>
          <cell r="B622">
            <v>3640.47</v>
          </cell>
        </row>
        <row r="623">
          <cell r="A623">
            <v>44832</v>
          </cell>
          <cell r="B623">
            <v>3719.04</v>
          </cell>
        </row>
        <row r="624">
          <cell r="A624">
            <v>44831</v>
          </cell>
          <cell r="B624">
            <v>3647.29</v>
          </cell>
        </row>
        <row r="625">
          <cell r="A625">
            <v>44830</v>
          </cell>
          <cell r="B625">
            <v>3655.04</v>
          </cell>
        </row>
        <row r="626">
          <cell r="A626">
            <v>44827</v>
          </cell>
          <cell r="B626">
            <v>3693.23</v>
          </cell>
        </row>
        <row r="627">
          <cell r="A627">
            <v>44826</v>
          </cell>
          <cell r="B627">
            <v>3757.99</v>
          </cell>
        </row>
        <row r="628">
          <cell r="A628">
            <v>44825</v>
          </cell>
          <cell r="B628">
            <v>3789.93</v>
          </cell>
        </row>
        <row r="629">
          <cell r="A629">
            <v>44824</v>
          </cell>
          <cell r="B629">
            <v>3855.93</v>
          </cell>
        </row>
        <row r="630">
          <cell r="A630">
            <v>44823</v>
          </cell>
          <cell r="B630">
            <v>3899.89</v>
          </cell>
        </row>
        <row r="631">
          <cell r="A631">
            <v>44820</v>
          </cell>
          <cell r="B631">
            <v>3873.33</v>
          </cell>
        </row>
        <row r="632">
          <cell r="A632">
            <v>44819</v>
          </cell>
          <cell r="B632">
            <v>3901.35</v>
          </cell>
        </row>
        <row r="633">
          <cell r="A633">
            <v>44818</v>
          </cell>
          <cell r="B633">
            <v>3946.01</v>
          </cell>
        </row>
        <row r="634">
          <cell r="A634">
            <v>44817</v>
          </cell>
          <cell r="B634">
            <v>3932.69</v>
          </cell>
        </row>
        <row r="635">
          <cell r="A635">
            <v>44816</v>
          </cell>
          <cell r="B635">
            <v>4110.41</v>
          </cell>
        </row>
        <row r="636">
          <cell r="A636">
            <v>44813</v>
          </cell>
          <cell r="B636">
            <v>4067.36</v>
          </cell>
        </row>
        <row r="637">
          <cell r="A637">
            <v>44812</v>
          </cell>
          <cell r="B637">
            <v>4006.18</v>
          </cell>
        </row>
        <row r="638">
          <cell r="A638">
            <v>44811</v>
          </cell>
          <cell r="B638">
            <v>3979.87</v>
          </cell>
        </row>
        <row r="639">
          <cell r="A639">
            <v>44810</v>
          </cell>
          <cell r="B639">
            <v>3908.19</v>
          </cell>
        </row>
        <row r="640">
          <cell r="A640">
            <v>44806</v>
          </cell>
          <cell r="B640">
            <v>3924.26</v>
          </cell>
        </row>
        <row r="641">
          <cell r="A641">
            <v>44805</v>
          </cell>
          <cell r="B641">
            <v>3966.85</v>
          </cell>
        </row>
        <row r="642">
          <cell r="A642">
            <v>44804</v>
          </cell>
          <cell r="B642">
            <v>3955</v>
          </cell>
        </row>
        <row r="643">
          <cell r="A643">
            <v>44803</v>
          </cell>
          <cell r="B643">
            <v>3986.16</v>
          </cell>
        </row>
        <row r="644">
          <cell r="A644">
            <v>44802</v>
          </cell>
          <cell r="B644">
            <v>4030.61</v>
          </cell>
        </row>
        <row r="645">
          <cell r="A645">
            <v>44799</v>
          </cell>
          <cell r="B645">
            <v>4057.66</v>
          </cell>
        </row>
        <row r="646">
          <cell r="A646">
            <v>44798</v>
          </cell>
          <cell r="B646">
            <v>4199.12</v>
          </cell>
        </row>
        <row r="647">
          <cell r="A647">
            <v>44797</v>
          </cell>
          <cell r="B647">
            <v>4140.7700000000004</v>
          </cell>
        </row>
        <row r="648">
          <cell r="A648">
            <v>44796</v>
          </cell>
          <cell r="B648">
            <v>4128.7299999999996</v>
          </cell>
        </row>
        <row r="649">
          <cell r="A649">
            <v>44795</v>
          </cell>
          <cell r="B649">
            <v>4137.99</v>
          </cell>
        </row>
        <row r="650">
          <cell r="A650">
            <v>44792</v>
          </cell>
          <cell r="B650">
            <v>4228.4799999999996</v>
          </cell>
        </row>
        <row r="651">
          <cell r="A651">
            <v>44791</v>
          </cell>
          <cell r="B651">
            <v>4283.74</v>
          </cell>
        </row>
        <row r="652">
          <cell r="A652">
            <v>44790</v>
          </cell>
          <cell r="B652">
            <v>4274.04</v>
          </cell>
        </row>
        <row r="653">
          <cell r="A653">
            <v>44789</v>
          </cell>
          <cell r="B653">
            <v>4305.2</v>
          </cell>
        </row>
        <row r="654">
          <cell r="A654">
            <v>44788</v>
          </cell>
          <cell r="B654">
            <v>4297.1400000000003</v>
          </cell>
        </row>
        <row r="655">
          <cell r="A655">
            <v>44785</v>
          </cell>
          <cell r="B655">
            <v>4280.1499999999996</v>
          </cell>
        </row>
        <row r="656">
          <cell r="A656">
            <v>44784</v>
          </cell>
          <cell r="B656">
            <v>4207.2700000000004</v>
          </cell>
        </row>
        <row r="657">
          <cell r="A657">
            <v>44783</v>
          </cell>
          <cell r="B657">
            <v>4210.24</v>
          </cell>
        </row>
        <row r="658">
          <cell r="A658">
            <v>44782</v>
          </cell>
          <cell r="B658">
            <v>4122.47</v>
          </cell>
        </row>
        <row r="659">
          <cell r="A659">
            <v>44781</v>
          </cell>
          <cell r="B659">
            <v>4140.0600000000004</v>
          </cell>
        </row>
        <row r="660">
          <cell r="A660">
            <v>44778</v>
          </cell>
          <cell r="B660">
            <v>4145.1899999999996</v>
          </cell>
        </row>
        <row r="661">
          <cell r="A661">
            <v>44777</v>
          </cell>
          <cell r="B661">
            <v>4151.9399999999996</v>
          </cell>
        </row>
        <row r="662">
          <cell r="A662">
            <v>44776</v>
          </cell>
          <cell r="B662">
            <v>4155.17</v>
          </cell>
        </row>
        <row r="663">
          <cell r="A663">
            <v>44775</v>
          </cell>
          <cell r="B663">
            <v>4091.19</v>
          </cell>
        </row>
        <row r="664">
          <cell r="A664">
            <v>44774</v>
          </cell>
          <cell r="B664">
            <v>4118.63</v>
          </cell>
        </row>
        <row r="665">
          <cell r="A665">
            <v>44771</v>
          </cell>
          <cell r="B665">
            <v>4130.29</v>
          </cell>
        </row>
        <row r="666">
          <cell r="A666">
            <v>44770</v>
          </cell>
          <cell r="B666">
            <v>4072.43</v>
          </cell>
        </row>
        <row r="667">
          <cell r="A667">
            <v>44769</v>
          </cell>
          <cell r="B667">
            <v>4023.61</v>
          </cell>
        </row>
        <row r="668">
          <cell r="A668">
            <v>44768</v>
          </cell>
          <cell r="B668">
            <v>3921.05</v>
          </cell>
        </row>
        <row r="669">
          <cell r="A669">
            <v>44767</v>
          </cell>
          <cell r="B669">
            <v>3966.84</v>
          </cell>
        </row>
        <row r="670">
          <cell r="A670">
            <v>44764</v>
          </cell>
          <cell r="B670">
            <v>3961.63</v>
          </cell>
        </row>
        <row r="671">
          <cell r="A671">
            <v>44763</v>
          </cell>
          <cell r="B671">
            <v>3998.95</v>
          </cell>
        </row>
        <row r="672">
          <cell r="A672">
            <v>44762</v>
          </cell>
          <cell r="B672">
            <v>3959.9</v>
          </cell>
        </row>
        <row r="673">
          <cell r="A673">
            <v>44761</v>
          </cell>
          <cell r="B673">
            <v>3936.69</v>
          </cell>
        </row>
        <row r="674">
          <cell r="A674">
            <v>44760</v>
          </cell>
          <cell r="B674">
            <v>3830.85</v>
          </cell>
        </row>
        <row r="675">
          <cell r="A675">
            <v>44757</v>
          </cell>
          <cell r="B675">
            <v>3863.16</v>
          </cell>
        </row>
        <row r="676">
          <cell r="A676">
            <v>44756</v>
          </cell>
          <cell r="B676">
            <v>3790.38</v>
          </cell>
        </row>
        <row r="677">
          <cell r="A677">
            <v>44755</v>
          </cell>
          <cell r="B677">
            <v>3801.78</v>
          </cell>
        </row>
        <row r="678">
          <cell r="A678">
            <v>44754</v>
          </cell>
          <cell r="B678">
            <v>3818.8</v>
          </cell>
        </row>
        <row r="679">
          <cell r="A679">
            <v>44753</v>
          </cell>
          <cell r="B679">
            <v>3854.43</v>
          </cell>
        </row>
        <row r="680">
          <cell r="A680">
            <v>44750</v>
          </cell>
          <cell r="B680">
            <v>3899.38</v>
          </cell>
        </row>
        <row r="681">
          <cell r="A681">
            <v>44749</v>
          </cell>
          <cell r="B681">
            <v>3902.62</v>
          </cell>
        </row>
        <row r="682">
          <cell r="A682">
            <v>44748</v>
          </cell>
          <cell r="B682">
            <v>3845.08</v>
          </cell>
        </row>
        <row r="683">
          <cell r="A683">
            <v>44747</v>
          </cell>
          <cell r="B683">
            <v>3831.39</v>
          </cell>
        </row>
        <row r="684">
          <cell r="A684">
            <v>44743</v>
          </cell>
          <cell r="B684">
            <v>3825.33</v>
          </cell>
        </row>
        <row r="685">
          <cell r="A685">
            <v>44742</v>
          </cell>
          <cell r="B685">
            <v>3785.38</v>
          </cell>
        </row>
        <row r="686">
          <cell r="A686">
            <v>44741</v>
          </cell>
          <cell r="B686">
            <v>3818.83</v>
          </cell>
        </row>
        <row r="687">
          <cell r="A687">
            <v>44740</v>
          </cell>
          <cell r="B687">
            <v>3821.55</v>
          </cell>
        </row>
        <row r="688">
          <cell r="A688">
            <v>44739</v>
          </cell>
          <cell r="B688">
            <v>3900.11</v>
          </cell>
        </row>
        <row r="689">
          <cell r="A689">
            <v>44736</v>
          </cell>
          <cell r="B689">
            <v>3911.74</v>
          </cell>
        </row>
        <row r="690">
          <cell r="A690">
            <v>44735</v>
          </cell>
          <cell r="B690">
            <v>3795.73</v>
          </cell>
        </row>
        <row r="691">
          <cell r="A691">
            <v>44734</v>
          </cell>
          <cell r="B691">
            <v>3759.89</v>
          </cell>
        </row>
        <row r="692">
          <cell r="A692">
            <v>44733</v>
          </cell>
          <cell r="B692">
            <v>3764.79</v>
          </cell>
        </row>
        <row r="693">
          <cell r="A693">
            <v>44729</v>
          </cell>
          <cell r="B693">
            <v>3674.84</v>
          </cell>
        </row>
        <row r="694">
          <cell r="A694">
            <v>44728</v>
          </cell>
          <cell r="B694">
            <v>3666.77</v>
          </cell>
        </row>
        <row r="695">
          <cell r="A695">
            <v>44727</v>
          </cell>
          <cell r="B695">
            <v>3789.99</v>
          </cell>
        </row>
        <row r="696">
          <cell r="A696">
            <v>44726</v>
          </cell>
          <cell r="B696">
            <v>3735.48</v>
          </cell>
        </row>
        <row r="697">
          <cell r="A697">
            <v>44725</v>
          </cell>
          <cell r="B697">
            <v>3749.63</v>
          </cell>
        </row>
        <row r="698">
          <cell r="A698">
            <v>44722</v>
          </cell>
          <cell r="B698">
            <v>3900.86</v>
          </cell>
        </row>
        <row r="699">
          <cell r="A699">
            <v>44721</v>
          </cell>
          <cell r="B699">
            <v>4017.82</v>
          </cell>
        </row>
        <row r="700">
          <cell r="A700">
            <v>44720</v>
          </cell>
          <cell r="B700">
            <v>4115.7700000000004</v>
          </cell>
        </row>
        <row r="701">
          <cell r="A701">
            <v>44719</v>
          </cell>
          <cell r="B701">
            <v>4160.68</v>
          </cell>
        </row>
        <row r="702">
          <cell r="A702">
            <v>44718</v>
          </cell>
          <cell r="B702">
            <v>4121.43</v>
          </cell>
        </row>
        <row r="703">
          <cell r="A703">
            <v>44715</v>
          </cell>
          <cell r="B703">
            <v>4108.54</v>
          </cell>
        </row>
        <row r="704">
          <cell r="A704">
            <v>44714</v>
          </cell>
          <cell r="B704">
            <v>4176.82</v>
          </cell>
        </row>
        <row r="705">
          <cell r="A705">
            <v>44713</v>
          </cell>
          <cell r="B705">
            <v>4101.2299999999996</v>
          </cell>
        </row>
        <row r="706">
          <cell r="A706">
            <v>44712</v>
          </cell>
          <cell r="B706">
            <v>4132.1499999999996</v>
          </cell>
        </row>
        <row r="707">
          <cell r="A707">
            <v>44708</v>
          </cell>
          <cell r="B707">
            <v>4158.24</v>
          </cell>
        </row>
        <row r="708">
          <cell r="A708">
            <v>44707</v>
          </cell>
          <cell r="B708">
            <v>4057.84</v>
          </cell>
        </row>
        <row r="709">
          <cell r="A709">
            <v>44706</v>
          </cell>
          <cell r="B709">
            <v>3978.73</v>
          </cell>
        </row>
        <row r="710">
          <cell r="A710">
            <v>44705</v>
          </cell>
          <cell r="B710">
            <v>3941.48</v>
          </cell>
        </row>
        <row r="711">
          <cell r="A711">
            <v>44704</v>
          </cell>
          <cell r="B711">
            <v>3973.75</v>
          </cell>
        </row>
        <row r="712">
          <cell r="A712">
            <v>44701</v>
          </cell>
          <cell r="B712">
            <v>3901.36</v>
          </cell>
        </row>
        <row r="713">
          <cell r="A713">
            <v>44700</v>
          </cell>
          <cell r="B713">
            <v>3900.79</v>
          </cell>
        </row>
        <row r="714">
          <cell r="A714">
            <v>44699</v>
          </cell>
          <cell r="B714">
            <v>3923.68</v>
          </cell>
        </row>
        <row r="715">
          <cell r="A715">
            <v>44698</v>
          </cell>
          <cell r="B715">
            <v>4088.85</v>
          </cell>
        </row>
        <row r="716">
          <cell r="A716">
            <v>44697</v>
          </cell>
          <cell r="B716">
            <v>4008.01</v>
          </cell>
        </row>
        <row r="717">
          <cell r="A717">
            <v>44694</v>
          </cell>
          <cell r="B717">
            <v>4023.89</v>
          </cell>
        </row>
        <row r="718">
          <cell r="A718">
            <v>44693</v>
          </cell>
          <cell r="B718">
            <v>3930.08</v>
          </cell>
        </row>
        <row r="719">
          <cell r="A719">
            <v>44692</v>
          </cell>
          <cell r="B719">
            <v>3935.18</v>
          </cell>
        </row>
        <row r="720">
          <cell r="A720">
            <v>44691</v>
          </cell>
          <cell r="B720">
            <v>4001.05</v>
          </cell>
        </row>
        <row r="721">
          <cell r="A721">
            <v>44690</v>
          </cell>
          <cell r="B721">
            <v>3991.24</v>
          </cell>
        </row>
        <row r="722">
          <cell r="A722">
            <v>44687</v>
          </cell>
          <cell r="B722">
            <v>4123.34</v>
          </cell>
        </row>
        <row r="723">
          <cell r="A723">
            <v>44686</v>
          </cell>
          <cell r="B723">
            <v>4146.87</v>
          </cell>
        </row>
        <row r="724">
          <cell r="A724">
            <v>44685</v>
          </cell>
          <cell r="B724">
            <v>4300.17</v>
          </cell>
        </row>
        <row r="725">
          <cell r="A725">
            <v>44684</v>
          </cell>
          <cell r="B725">
            <v>4175.4799999999996</v>
          </cell>
        </row>
        <row r="726">
          <cell r="A726">
            <v>44683</v>
          </cell>
          <cell r="B726">
            <v>4155.38</v>
          </cell>
        </row>
        <row r="727">
          <cell r="A727">
            <v>44680</v>
          </cell>
          <cell r="B727">
            <v>4131.93</v>
          </cell>
        </row>
        <row r="728">
          <cell r="A728">
            <v>44679</v>
          </cell>
          <cell r="B728">
            <v>4287.5</v>
          </cell>
        </row>
        <row r="729">
          <cell r="A729">
            <v>44678</v>
          </cell>
          <cell r="B729">
            <v>4183.96</v>
          </cell>
        </row>
        <row r="730">
          <cell r="A730">
            <v>44677</v>
          </cell>
          <cell r="B730">
            <v>4175.2</v>
          </cell>
        </row>
        <row r="731">
          <cell r="A731">
            <v>44676</v>
          </cell>
          <cell r="B731">
            <v>4296.12</v>
          </cell>
        </row>
        <row r="732">
          <cell r="A732">
            <v>44673</v>
          </cell>
          <cell r="B732">
            <v>4271.78</v>
          </cell>
        </row>
        <row r="733">
          <cell r="A733">
            <v>44672</v>
          </cell>
          <cell r="B733">
            <v>4393.66</v>
          </cell>
        </row>
        <row r="734">
          <cell r="A734">
            <v>44671</v>
          </cell>
          <cell r="B734">
            <v>4459.45</v>
          </cell>
        </row>
        <row r="735">
          <cell r="A735">
            <v>44670</v>
          </cell>
          <cell r="B735">
            <v>4462.21</v>
          </cell>
        </row>
        <row r="736">
          <cell r="A736">
            <v>44669</v>
          </cell>
          <cell r="B736">
            <v>4391.6899999999996</v>
          </cell>
        </row>
        <row r="737">
          <cell r="A737">
            <v>44665</v>
          </cell>
          <cell r="B737">
            <v>4392.59</v>
          </cell>
        </row>
        <row r="738">
          <cell r="A738">
            <v>44664</v>
          </cell>
          <cell r="B738">
            <v>4446.59</v>
          </cell>
        </row>
        <row r="739">
          <cell r="A739">
            <v>44663</v>
          </cell>
          <cell r="B739">
            <v>4397.45</v>
          </cell>
        </row>
        <row r="740">
          <cell r="A740">
            <v>44662</v>
          </cell>
          <cell r="B740">
            <v>4412.53</v>
          </cell>
        </row>
        <row r="741">
          <cell r="A741">
            <v>44659</v>
          </cell>
          <cell r="B741">
            <v>4488.28</v>
          </cell>
        </row>
        <row r="742">
          <cell r="A742">
            <v>44658</v>
          </cell>
          <cell r="B742">
            <v>4500.21</v>
          </cell>
        </row>
        <row r="743">
          <cell r="A743">
            <v>44657</v>
          </cell>
          <cell r="B743">
            <v>4481.1499999999996</v>
          </cell>
        </row>
        <row r="744">
          <cell r="A744">
            <v>44656</v>
          </cell>
          <cell r="B744">
            <v>4525.12</v>
          </cell>
        </row>
        <row r="745">
          <cell r="A745">
            <v>44655</v>
          </cell>
          <cell r="B745">
            <v>4582.6400000000003</v>
          </cell>
        </row>
        <row r="746">
          <cell r="A746">
            <v>44652</v>
          </cell>
          <cell r="B746">
            <v>4545.8599999999997</v>
          </cell>
        </row>
        <row r="747">
          <cell r="A747">
            <v>44651</v>
          </cell>
          <cell r="B747">
            <v>4530.41</v>
          </cell>
        </row>
        <row r="748">
          <cell r="A748">
            <v>44650</v>
          </cell>
          <cell r="B748">
            <v>4602.45</v>
          </cell>
        </row>
        <row r="749">
          <cell r="A749">
            <v>44649</v>
          </cell>
          <cell r="B749">
            <v>4631.6000000000004</v>
          </cell>
        </row>
        <row r="750">
          <cell r="A750">
            <v>44648</v>
          </cell>
          <cell r="B750">
            <v>4575.5200000000004</v>
          </cell>
        </row>
        <row r="751">
          <cell r="A751">
            <v>44645</v>
          </cell>
          <cell r="B751">
            <v>4543.0600000000004</v>
          </cell>
        </row>
        <row r="752">
          <cell r="A752">
            <v>44644</v>
          </cell>
          <cell r="B752">
            <v>4520.16</v>
          </cell>
        </row>
        <row r="753">
          <cell r="A753">
            <v>44643</v>
          </cell>
          <cell r="B753">
            <v>4456.24</v>
          </cell>
        </row>
        <row r="754">
          <cell r="A754">
            <v>44642</v>
          </cell>
          <cell r="B754">
            <v>4511.6099999999997</v>
          </cell>
        </row>
        <row r="755">
          <cell r="A755">
            <v>44641</v>
          </cell>
          <cell r="B755">
            <v>4461.18</v>
          </cell>
        </row>
        <row r="756">
          <cell r="A756">
            <v>44638</v>
          </cell>
          <cell r="B756">
            <v>4463.12</v>
          </cell>
        </row>
        <row r="757">
          <cell r="A757">
            <v>44637</v>
          </cell>
          <cell r="B757">
            <v>4411.67</v>
          </cell>
        </row>
        <row r="758">
          <cell r="A758">
            <v>44636</v>
          </cell>
          <cell r="B758">
            <v>4357.8599999999997</v>
          </cell>
        </row>
        <row r="759">
          <cell r="A759">
            <v>44635</v>
          </cell>
          <cell r="B759">
            <v>4262.45</v>
          </cell>
        </row>
        <row r="760">
          <cell r="A760">
            <v>44634</v>
          </cell>
          <cell r="B760">
            <v>4173.1099999999997</v>
          </cell>
        </row>
        <row r="761">
          <cell r="A761">
            <v>44631</v>
          </cell>
          <cell r="B761">
            <v>4204.3100000000004</v>
          </cell>
        </row>
        <row r="762">
          <cell r="A762">
            <v>44630</v>
          </cell>
          <cell r="B762">
            <v>4259.5200000000004</v>
          </cell>
        </row>
        <row r="763">
          <cell r="A763">
            <v>44629</v>
          </cell>
          <cell r="B763">
            <v>4277.88</v>
          </cell>
        </row>
        <row r="764">
          <cell r="A764">
            <v>44628</v>
          </cell>
          <cell r="B764">
            <v>4170.7</v>
          </cell>
        </row>
        <row r="765">
          <cell r="A765">
            <v>44627</v>
          </cell>
          <cell r="B765">
            <v>4201.09</v>
          </cell>
        </row>
        <row r="766">
          <cell r="A766">
            <v>44624</v>
          </cell>
          <cell r="B766">
            <v>4328.87</v>
          </cell>
        </row>
        <row r="767">
          <cell r="A767">
            <v>44623</v>
          </cell>
          <cell r="B767">
            <v>4363.49</v>
          </cell>
        </row>
        <row r="768">
          <cell r="A768">
            <v>44622</v>
          </cell>
          <cell r="B768">
            <v>4386.54</v>
          </cell>
        </row>
        <row r="769">
          <cell r="A769">
            <v>44621</v>
          </cell>
          <cell r="B769">
            <v>4306.26</v>
          </cell>
        </row>
        <row r="770">
          <cell r="A770">
            <v>44620</v>
          </cell>
          <cell r="B770">
            <v>4373.9399999999996</v>
          </cell>
        </row>
        <row r="771">
          <cell r="A771">
            <v>44617</v>
          </cell>
          <cell r="B771">
            <v>4384.6499999999996</v>
          </cell>
        </row>
        <row r="772">
          <cell r="A772">
            <v>44616</v>
          </cell>
          <cell r="B772">
            <v>4288.7</v>
          </cell>
        </row>
        <row r="773">
          <cell r="A773">
            <v>44615</v>
          </cell>
          <cell r="B773">
            <v>4225.5</v>
          </cell>
        </row>
        <row r="774">
          <cell r="A774">
            <v>44614</v>
          </cell>
          <cell r="B774">
            <v>4304.76</v>
          </cell>
        </row>
        <row r="775">
          <cell r="A775">
            <v>44610</v>
          </cell>
          <cell r="B775">
            <v>4348.87</v>
          </cell>
        </row>
        <row r="776">
          <cell r="A776">
            <v>44609</v>
          </cell>
          <cell r="B776">
            <v>4380.26</v>
          </cell>
        </row>
        <row r="777">
          <cell r="A777">
            <v>44608</v>
          </cell>
          <cell r="B777">
            <v>4475.01</v>
          </cell>
        </row>
        <row r="778">
          <cell r="A778">
            <v>44607</v>
          </cell>
          <cell r="B778">
            <v>4471.07</v>
          </cell>
        </row>
        <row r="779">
          <cell r="A779">
            <v>44606</v>
          </cell>
          <cell r="B779">
            <v>4401.67</v>
          </cell>
        </row>
        <row r="780">
          <cell r="A780">
            <v>44603</v>
          </cell>
          <cell r="B780">
            <v>4418.6400000000003</v>
          </cell>
        </row>
        <row r="781">
          <cell r="A781">
            <v>44602</v>
          </cell>
          <cell r="B781">
            <v>4504.08</v>
          </cell>
        </row>
        <row r="782">
          <cell r="A782">
            <v>44601</v>
          </cell>
          <cell r="B782">
            <v>4587.18</v>
          </cell>
        </row>
        <row r="783">
          <cell r="A783">
            <v>44600</v>
          </cell>
          <cell r="B783">
            <v>4521.54</v>
          </cell>
        </row>
        <row r="784">
          <cell r="A784">
            <v>44599</v>
          </cell>
          <cell r="B784">
            <v>4483.87</v>
          </cell>
        </row>
        <row r="785">
          <cell r="A785">
            <v>44596</v>
          </cell>
          <cell r="B785">
            <v>4500.53</v>
          </cell>
        </row>
        <row r="786">
          <cell r="A786">
            <v>44595</v>
          </cell>
          <cell r="B786">
            <v>4477.4399999999996</v>
          </cell>
        </row>
        <row r="787">
          <cell r="A787">
            <v>44594</v>
          </cell>
          <cell r="B787">
            <v>4589.38</v>
          </cell>
        </row>
        <row r="788">
          <cell r="A788">
            <v>44593</v>
          </cell>
          <cell r="B788">
            <v>4546.54</v>
          </cell>
        </row>
        <row r="789">
          <cell r="A789">
            <v>44592</v>
          </cell>
          <cell r="B789">
            <v>4515.55</v>
          </cell>
        </row>
        <row r="790">
          <cell r="A790">
            <v>44589</v>
          </cell>
          <cell r="B790">
            <v>4431.8500000000004</v>
          </cell>
        </row>
        <row r="791">
          <cell r="A791">
            <v>44588</v>
          </cell>
          <cell r="B791">
            <v>4326.51</v>
          </cell>
        </row>
        <row r="792">
          <cell r="A792">
            <v>44587</v>
          </cell>
          <cell r="B792">
            <v>4349.93</v>
          </cell>
        </row>
        <row r="793">
          <cell r="A793">
            <v>44586</v>
          </cell>
          <cell r="B793">
            <v>4356.45</v>
          </cell>
        </row>
        <row r="794">
          <cell r="A794">
            <v>44585</v>
          </cell>
          <cell r="B794">
            <v>4410.13</v>
          </cell>
        </row>
        <row r="795">
          <cell r="A795">
            <v>44582</v>
          </cell>
          <cell r="B795">
            <v>4397.9399999999996</v>
          </cell>
        </row>
        <row r="796">
          <cell r="A796">
            <v>44581</v>
          </cell>
          <cell r="B796">
            <v>4482.7299999999996</v>
          </cell>
        </row>
        <row r="797">
          <cell r="A797">
            <v>44580</v>
          </cell>
          <cell r="B797">
            <v>4532.76</v>
          </cell>
        </row>
        <row r="798">
          <cell r="A798">
            <v>44579</v>
          </cell>
          <cell r="B798">
            <v>4577.1099999999997</v>
          </cell>
        </row>
        <row r="799">
          <cell r="A799">
            <v>44575</v>
          </cell>
          <cell r="B799">
            <v>4662.8500000000004</v>
          </cell>
        </row>
        <row r="800">
          <cell r="A800">
            <v>44574</v>
          </cell>
          <cell r="B800">
            <v>4659.03</v>
          </cell>
        </row>
        <row r="801">
          <cell r="A801">
            <v>44573</v>
          </cell>
          <cell r="B801">
            <v>4726.3500000000004</v>
          </cell>
        </row>
        <row r="802">
          <cell r="A802">
            <v>44572</v>
          </cell>
          <cell r="B802">
            <v>4713.07</v>
          </cell>
        </row>
        <row r="803">
          <cell r="A803">
            <v>44571</v>
          </cell>
          <cell r="B803">
            <v>4670.29</v>
          </cell>
        </row>
        <row r="804">
          <cell r="A804">
            <v>44568</v>
          </cell>
          <cell r="B804">
            <v>4677.03</v>
          </cell>
        </row>
        <row r="805">
          <cell r="A805">
            <v>44567</v>
          </cell>
          <cell r="B805">
            <v>4696.05</v>
          </cell>
        </row>
        <row r="806">
          <cell r="A806">
            <v>44566</v>
          </cell>
          <cell r="B806">
            <v>4700.58</v>
          </cell>
        </row>
        <row r="807">
          <cell r="A807">
            <v>44565</v>
          </cell>
          <cell r="B807">
            <v>4793.54</v>
          </cell>
        </row>
        <row r="808">
          <cell r="A808">
            <v>44564</v>
          </cell>
          <cell r="B808">
            <v>4796.5600000000004</v>
          </cell>
        </row>
        <row r="809">
          <cell r="A809">
            <v>44561</v>
          </cell>
          <cell r="B809">
            <v>4766.18</v>
          </cell>
        </row>
        <row r="810">
          <cell r="A810">
            <v>44560</v>
          </cell>
          <cell r="B810">
            <v>4778.7299999999996</v>
          </cell>
        </row>
        <row r="811">
          <cell r="A811">
            <v>44559</v>
          </cell>
          <cell r="B811">
            <v>4793.0600000000004</v>
          </cell>
        </row>
        <row r="812">
          <cell r="A812">
            <v>44558</v>
          </cell>
          <cell r="B812">
            <v>4786.3500000000004</v>
          </cell>
        </row>
        <row r="813">
          <cell r="A813">
            <v>44557</v>
          </cell>
          <cell r="B813">
            <v>4791.1899999999996</v>
          </cell>
        </row>
        <row r="814">
          <cell r="A814">
            <v>44553</v>
          </cell>
          <cell r="B814">
            <v>4725.79</v>
          </cell>
        </row>
        <row r="815">
          <cell r="A815">
            <v>44552</v>
          </cell>
          <cell r="B815">
            <v>4696.5600000000004</v>
          </cell>
        </row>
        <row r="816">
          <cell r="A816">
            <v>44551</v>
          </cell>
          <cell r="B816">
            <v>4649.2299999999996</v>
          </cell>
        </row>
        <row r="817">
          <cell r="A817">
            <v>44550</v>
          </cell>
          <cell r="B817">
            <v>4568.0200000000004</v>
          </cell>
        </row>
        <row r="818">
          <cell r="A818">
            <v>44547</v>
          </cell>
          <cell r="B818">
            <v>4620.6400000000003</v>
          </cell>
        </row>
        <row r="819">
          <cell r="A819">
            <v>44546</v>
          </cell>
          <cell r="B819">
            <v>4668.67</v>
          </cell>
        </row>
        <row r="820">
          <cell r="A820">
            <v>44545</v>
          </cell>
          <cell r="B820">
            <v>4709.8500000000004</v>
          </cell>
        </row>
        <row r="821">
          <cell r="A821">
            <v>44544</v>
          </cell>
          <cell r="B821">
            <v>4634.09</v>
          </cell>
        </row>
        <row r="822">
          <cell r="A822">
            <v>44543</v>
          </cell>
          <cell r="B822">
            <v>4668.97</v>
          </cell>
        </row>
        <row r="823">
          <cell r="A823">
            <v>44540</v>
          </cell>
          <cell r="B823">
            <v>4712.0200000000004</v>
          </cell>
        </row>
        <row r="824">
          <cell r="A824">
            <v>44539</v>
          </cell>
          <cell r="B824">
            <v>4667.45</v>
          </cell>
        </row>
        <row r="825">
          <cell r="A825">
            <v>44538</v>
          </cell>
          <cell r="B825">
            <v>4701.21</v>
          </cell>
        </row>
        <row r="826">
          <cell r="A826">
            <v>44537</v>
          </cell>
          <cell r="B826">
            <v>4686.75</v>
          </cell>
        </row>
        <row r="827">
          <cell r="A827">
            <v>44536</v>
          </cell>
          <cell r="B827">
            <v>4591.67</v>
          </cell>
        </row>
        <row r="828">
          <cell r="A828">
            <v>44533</v>
          </cell>
          <cell r="B828">
            <v>4538.43</v>
          </cell>
        </row>
        <row r="829">
          <cell r="A829">
            <v>44532</v>
          </cell>
          <cell r="B829">
            <v>4577.1000000000004</v>
          </cell>
        </row>
        <row r="830">
          <cell r="A830">
            <v>44531</v>
          </cell>
          <cell r="B830">
            <v>4513.04</v>
          </cell>
        </row>
        <row r="831">
          <cell r="A831">
            <v>44530</v>
          </cell>
          <cell r="B831">
            <v>4567</v>
          </cell>
        </row>
        <row r="832">
          <cell r="A832">
            <v>44529</v>
          </cell>
          <cell r="B832">
            <v>4655.2700000000004</v>
          </cell>
        </row>
        <row r="833">
          <cell r="A833">
            <v>44526</v>
          </cell>
          <cell r="B833">
            <v>4594.62</v>
          </cell>
        </row>
        <row r="834">
          <cell r="A834">
            <v>44524</v>
          </cell>
          <cell r="B834">
            <v>4701.46</v>
          </cell>
        </row>
        <row r="835">
          <cell r="A835">
            <v>44523</v>
          </cell>
          <cell r="B835">
            <v>4690.7</v>
          </cell>
        </row>
        <row r="836">
          <cell r="A836">
            <v>44522</v>
          </cell>
          <cell r="B836">
            <v>4682.9399999999996</v>
          </cell>
        </row>
        <row r="837">
          <cell r="A837">
            <v>44519</v>
          </cell>
          <cell r="B837">
            <v>4697.96</v>
          </cell>
        </row>
        <row r="838">
          <cell r="A838">
            <v>44518</v>
          </cell>
          <cell r="B838">
            <v>4704.54</v>
          </cell>
        </row>
        <row r="839">
          <cell r="A839">
            <v>44517</v>
          </cell>
          <cell r="B839">
            <v>4688.67</v>
          </cell>
        </row>
        <row r="840">
          <cell r="A840">
            <v>44516</v>
          </cell>
          <cell r="B840">
            <v>4700.8999999999996</v>
          </cell>
        </row>
        <row r="841">
          <cell r="A841">
            <v>44515</v>
          </cell>
          <cell r="B841">
            <v>4682.8</v>
          </cell>
        </row>
        <row r="842">
          <cell r="A842">
            <v>44512</v>
          </cell>
          <cell r="B842">
            <v>4682.8500000000004</v>
          </cell>
        </row>
        <row r="843">
          <cell r="A843">
            <v>44511</v>
          </cell>
          <cell r="B843">
            <v>4649.2700000000004</v>
          </cell>
        </row>
        <row r="844">
          <cell r="A844">
            <v>44510</v>
          </cell>
          <cell r="B844">
            <v>4646.71</v>
          </cell>
        </row>
        <row r="845">
          <cell r="A845">
            <v>44509</v>
          </cell>
          <cell r="B845">
            <v>4685.25</v>
          </cell>
        </row>
        <row r="846">
          <cell r="A846">
            <v>44508</v>
          </cell>
          <cell r="B846">
            <v>4701.7</v>
          </cell>
        </row>
        <row r="847">
          <cell r="A847">
            <v>44505</v>
          </cell>
          <cell r="B847">
            <v>4697.53</v>
          </cell>
        </row>
        <row r="848">
          <cell r="A848">
            <v>44504</v>
          </cell>
          <cell r="B848">
            <v>4680.0600000000004</v>
          </cell>
        </row>
        <row r="849">
          <cell r="A849">
            <v>44503</v>
          </cell>
          <cell r="B849">
            <v>4660.57</v>
          </cell>
        </row>
        <row r="850">
          <cell r="A850">
            <v>44502</v>
          </cell>
          <cell r="B850">
            <v>4630.6499999999996</v>
          </cell>
        </row>
        <row r="851">
          <cell r="A851">
            <v>44501</v>
          </cell>
          <cell r="B851">
            <v>4613.67</v>
          </cell>
        </row>
        <row r="852">
          <cell r="A852">
            <v>44498</v>
          </cell>
          <cell r="B852">
            <v>4605.38</v>
          </cell>
        </row>
        <row r="853">
          <cell r="A853">
            <v>44497</v>
          </cell>
          <cell r="B853">
            <v>4596.42</v>
          </cell>
        </row>
        <row r="854">
          <cell r="A854">
            <v>44496</v>
          </cell>
          <cell r="B854">
            <v>4551.68</v>
          </cell>
        </row>
        <row r="855">
          <cell r="A855">
            <v>44495</v>
          </cell>
          <cell r="B855">
            <v>4574.79</v>
          </cell>
        </row>
        <row r="856">
          <cell r="A856">
            <v>44494</v>
          </cell>
          <cell r="B856">
            <v>4566.4799999999996</v>
          </cell>
        </row>
        <row r="857">
          <cell r="A857">
            <v>44491</v>
          </cell>
          <cell r="B857">
            <v>4544.8999999999996</v>
          </cell>
        </row>
        <row r="858">
          <cell r="A858">
            <v>44490</v>
          </cell>
          <cell r="B858">
            <v>4549.78</v>
          </cell>
        </row>
        <row r="859">
          <cell r="A859">
            <v>44489</v>
          </cell>
          <cell r="B859">
            <v>4536.1899999999996</v>
          </cell>
        </row>
        <row r="860">
          <cell r="A860">
            <v>44488</v>
          </cell>
          <cell r="B860">
            <v>4519.63</v>
          </cell>
        </row>
        <row r="861">
          <cell r="A861">
            <v>44487</v>
          </cell>
          <cell r="B861">
            <v>4486.46</v>
          </cell>
        </row>
        <row r="862">
          <cell r="A862">
            <v>44484</v>
          </cell>
          <cell r="B862">
            <v>4471.37</v>
          </cell>
        </row>
        <row r="863">
          <cell r="A863">
            <v>44483</v>
          </cell>
          <cell r="B863">
            <v>4438.26</v>
          </cell>
        </row>
        <row r="864">
          <cell r="A864">
            <v>44482</v>
          </cell>
          <cell r="B864">
            <v>4363.8</v>
          </cell>
        </row>
        <row r="865">
          <cell r="A865">
            <v>44481</v>
          </cell>
          <cell r="B865">
            <v>4350.6499999999996</v>
          </cell>
        </row>
        <row r="866">
          <cell r="A866">
            <v>44480</v>
          </cell>
          <cell r="B866">
            <v>4361.1899999999996</v>
          </cell>
        </row>
        <row r="867">
          <cell r="A867">
            <v>44477</v>
          </cell>
          <cell r="B867">
            <v>4391.34</v>
          </cell>
        </row>
        <row r="868">
          <cell r="A868">
            <v>44476</v>
          </cell>
          <cell r="B868">
            <v>4399.76</v>
          </cell>
        </row>
        <row r="869">
          <cell r="A869">
            <v>44475</v>
          </cell>
          <cell r="B869">
            <v>4363.55</v>
          </cell>
        </row>
        <row r="870">
          <cell r="A870">
            <v>44474</v>
          </cell>
          <cell r="B870">
            <v>4345.72</v>
          </cell>
        </row>
        <row r="871">
          <cell r="A871">
            <v>44473</v>
          </cell>
          <cell r="B871">
            <v>4300.46</v>
          </cell>
        </row>
        <row r="872">
          <cell r="A872">
            <v>44470</v>
          </cell>
          <cell r="B872">
            <v>4357.04</v>
          </cell>
        </row>
        <row r="873">
          <cell r="A873">
            <v>44469</v>
          </cell>
          <cell r="B873">
            <v>4307.54</v>
          </cell>
        </row>
        <row r="874">
          <cell r="A874">
            <v>44468</v>
          </cell>
          <cell r="B874">
            <v>4359.46</v>
          </cell>
        </row>
        <row r="875">
          <cell r="A875">
            <v>44467</v>
          </cell>
          <cell r="B875">
            <v>4352.63</v>
          </cell>
        </row>
        <row r="876">
          <cell r="A876">
            <v>44466</v>
          </cell>
          <cell r="B876">
            <v>4443.1099999999997</v>
          </cell>
        </row>
        <row r="877">
          <cell r="A877">
            <v>44463</v>
          </cell>
          <cell r="B877">
            <v>4455.4799999999996</v>
          </cell>
        </row>
        <row r="878">
          <cell r="A878">
            <v>44462</v>
          </cell>
          <cell r="B878">
            <v>4448.9799999999996</v>
          </cell>
        </row>
        <row r="879">
          <cell r="A879">
            <v>44461</v>
          </cell>
          <cell r="B879">
            <v>4395.6400000000003</v>
          </cell>
        </row>
        <row r="880">
          <cell r="A880">
            <v>44460</v>
          </cell>
          <cell r="B880">
            <v>4354.1899999999996</v>
          </cell>
        </row>
        <row r="881">
          <cell r="A881">
            <v>44459</v>
          </cell>
          <cell r="B881">
            <v>4357.7299999999996</v>
          </cell>
        </row>
        <row r="882">
          <cell r="A882">
            <v>44456</v>
          </cell>
          <cell r="B882">
            <v>4432.99</v>
          </cell>
        </row>
        <row r="883">
          <cell r="A883">
            <v>44455</v>
          </cell>
          <cell r="B883">
            <v>4473.75</v>
          </cell>
        </row>
        <row r="884">
          <cell r="A884">
            <v>44454</v>
          </cell>
          <cell r="B884">
            <v>4480.7</v>
          </cell>
        </row>
        <row r="885">
          <cell r="A885">
            <v>44453</v>
          </cell>
          <cell r="B885">
            <v>4443.05</v>
          </cell>
        </row>
        <row r="886">
          <cell r="A886">
            <v>44452</v>
          </cell>
          <cell r="B886">
            <v>4468.7299999999996</v>
          </cell>
        </row>
        <row r="887">
          <cell r="A887">
            <v>44449</v>
          </cell>
          <cell r="B887">
            <v>4458.58</v>
          </cell>
        </row>
        <row r="888">
          <cell r="A888">
            <v>44448</v>
          </cell>
          <cell r="B888">
            <v>4493.28</v>
          </cell>
        </row>
        <row r="889">
          <cell r="A889">
            <v>44447</v>
          </cell>
          <cell r="B889">
            <v>4514.07</v>
          </cell>
        </row>
        <row r="890">
          <cell r="A890">
            <v>44446</v>
          </cell>
          <cell r="B890">
            <v>4520.03</v>
          </cell>
        </row>
        <row r="891">
          <cell r="A891">
            <v>44442</v>
          </cell>
          <cell r="B891">
            <v>4535.43</v>
          </cell>
        </row>
        <row r="892">
          <cell r="A892">
            <v>44441</v>
          </cell>
          <cell r="B892">
            <v>4536.95</v>
          </cell>
        </row>
        <row r="893">
          <cell r="A893">
            <v>44440</v>
          </cell>
          <cell r="B893">
            <v>4524.09</v>
          </cell>
        </row>
        <row r="894">
          <cell r="A894">
            <v>44439</v>
          </cell>
          <cell r="B894">
            <v>4522.68</v>
          </cell>
        </row>
        <row r="895">
          <cell r="A895">
            <v>44438</v>
          </cell>
          <cell r="B895">
            <v>4528.79</v>
          </cell>
        </row>
        <row r="896">
          <cell r="A896">
            <v>44435</v>
          </cell>
          <cell r="B896">
            <v>4509.37</v>
          </cell>
        </row>
        <row r="897">
          <cell r="A897">
            <v>44434</v>
          </cell>
          <cell r="B897">
            <v>4470</v>
          </cell>
        </row>
        <row r="898">
          <cell r="A898">
            <v>44433</v>
          </cell>
          <cell r="B898">
            <v>4496.1899999999996</v>
          </cell>
        </row>
        <row r="899">
          <cell r="A899">
            <v>44432</v>
          </cell>
          <cell r="B899">
            <v>4486.2299999999996</v>
          </cell>
        </row>
        <row r="900">
          <cell r="A900">
            <v>44431</v>
          </cell>
          <cell r="B900">
            <v>4479.53</v>
          </cell>
        </row>
        <row r="901">
          <cell r="A901">
            <v>44428</v>
          </cell>
          <cell r="B901">
            <v>4441.67</v>
          </cell>
        </row>
        <row r="902">
          <cell r="A902">
            <v>44427</v>
          </cell>
          <cell r="B902">
            <v>4405.8</v>
          </cell>
        </row>
        <row r="903">
          <cell r="A903">
            <v>44426</v>
          </cell>
          <cell r="B903">
            <v>4400.2700000000004</v>
          </cell>
        </row>
        <row r="904">
          <cell r="A904">
            <v>44425</v>
          </cell>
          <cell r="B904">
            <v>4448.08</v>
          </cell>
        </row>
        <row r="905">
          <cell r="A905">
            <v>44424</v>
          </cell>
          <cell r="B905">
            <v>4479.71</v>
          </cell>
        </row>
        <row r="906">
          <cell r="A906">
            <v>44421</v>
          </cell>
          <cell r="B906">
            <v>4468</v>
          </cell>
        </row>
        <row r="907">
          <cell r="A907">
            <v>44420</v>
          </cell>
          <cell r="B907">
            <v>4460.83</v>
          </cell>
        </row>
        <row r="908">
          <cell r="A908">
            <v>44419</v>
          </cell>
          <cell r="B908">
            <v>4447.7</v>
          </cell>
        </row>
        <row r="909">
          <cell r="A909">
            <v>44418</v>
          </cell>
          <cell r="B909">
            <v>4436.75</v>
          </cell>
        </row>
        <row r="910">
          <cell r="A910">
            <v>44417</v>
          </cell>
          <cell r="B910">
            <v>4432.3500000000004</v>
          </cell>
        </row>
        <row r="911">
          <cell r="A911">
            <v>44414</v>
          </cell>
          <cell r="B911">
            <v>4436.5200000000004</v>
          </cell>
        </row>
        <row r="912">
          <cell r="A912">
            <v>44413</v>
          </cell>
          <cell r="B912">
            <v>4429.1000000000004</v>
          </cell>
        </row>
        <row r="913">
          <cell r="A913">
            <v>44412</v>
          </cell>
          <cell r="B913">
            <v>4402.66</v>
          </cell>
        </row>
        <row r="914">
          <cell r="A914">
            <v>44411</v>
          </cell>
          <cell r="B914">
            <v>4423.1499999999996</v>
          </cell>
        </row>
        <row r="915">
          <cell r="A915">
            <v>44410</v>
          </cell>
          <cell r="B915">
            <v>4387.16</v>
          </cell>
        </row>
        <row r="916">
          <cell r="A916">
            <v>44407</v>
          </cell>
          <cell r="B916">
            <v>4395.26</v>
          </cell>
        </row>
        <row r="917">
          <cell r="A917">
            <v>44406</v>
          </cell>
          <cell r="B917">
            <v>4419.1499999999996</v>
          </cell>
        </row>
        <row r="918">
          <cell r="A918">
            <v>44405</v>
          </cell>
          <cell r="B918">
            <v>4400.6400000000003</v>
          </cell>
        </row>
        <row r="919">
          <cell r="A919">
            <v>44404</v>
          </cell>
          <cell r="B919">
            <v>4401.46</v>
          </cell>
        </row>
        <row r="920">
          <cell r="A920">
            <v>44403</v>
          </cell>
          <cell r="B920">
            <v>4422.3</v>
          </cell>
        </row>
        <row r="921">
          <cell r="A921">
            <v>44400</v>
          </cell>
          <cell r="B921">
            <v>4411.79</v>
          </cell>
        </row>
        <row r="922">
          <cell r="A922">
            <v>44399</v>
          </cell>
          <cell r="B922">
            <v>4367.4799999999996</v>
          </cell>
        </row>
        <row r="923">
          <cell r="A923">
            <v>44398</v>
          </cell>
          <cell r="B923">
            <v>4358.6899999999996</v>
          </cell>
        </row>
        <row r="924">
          <cell r="A924">
            <v>44397</v>
          </cell>
          <cell r="B924">
            <v>4323.0600000000004</v>
          </cell>
        </row>
        <row r="925">
          <cell r="A925">
            <v>44396</v>
          </cell>
          <cell r="B925">
            <v>4258.49</v>
          </cell>
        </row>
        <row r="926">
          <cell r="A926">
            <v>44393</v>
          </cell>
          <cell r="B926">
            <v>4327.16</v>
          </cell>
        </row>
        <row r="927">
          <cell r="A927">
            <v>44392</v>
          </cell>
          <cell r="B927">
            <v>4360.03</v>
          </cell>
        </row>
        <row r="928">
          <cell r="A928">
            <v>44391</v>
          </cell>
          <cell r="B928">
            <v>4374.3</v>
          </cell>
        </row>
        <row r="929">
          <cell r="A929">
            <v>44390</v>
          </cell>
          <cell r="B929">
            <v>4369.21</v>
          </cell>
        </row>
        <row r="930">
          <cell r="A930">
            <v>44389</v>
          </cell>
          <cell r="B930">
            <v>4384.63</v>
          </cell>
        </row>
        <row r="931">
          <cell r="A931">
            <v>44386</v>
          </cell>
          <cell r="B931">
            <v>4369.55</v>
          </cell>
        </row>
        <row r="932">
          <cell r="A932">
            <v>44385</v>
          </cell>
          <cell r="B932">
            <v>4320.82</v>
          </cell>
        </row>
        <row r="933">
          <cell r="A933">
            <v>44384</v>
          </cell>
          <cell r="B933">
            <v>4358.13</v>
          </cell>
        </row>
        <row r="934">
          <cell r="A934">
            <v>44383</v>
          </cell>
          <cell r="B934">
            <v>4343.54</v>
          </cell>
        </row>
        <row r="935">
          <cell r="A935">
            <v>44379</v>
          </cell>
          <cell r="B935">
            <v>4352.34</v>
          </cell>
        </row>
        <row r="936">
          <cell r="A936">
            <v>44378</v>
          </cell>
          <cell r="B936">
            <v>4319.9399999999996</v>
          </cell>
        </row>
        <row r="937">
          <cell r="A937">
            <v>44377</v>
          </cell>
          <cell r="B937">
            <v>4297.5</v>
          </cell>
        </row>
        <row r="938">
          <cell r="A938">
            <v>44376</v>
          </cell>
          <cell r="B938">
            <v>4291.8</v>
          </cell>
        </row>
        <row r="939">
          <cell r="A939">
            <v>44375</v>
          </cell>
          <cell r="B939">
            <v>4290.6099999999997</v>
          </cell>
        </row>
        <row r="940">
          <cell r="A940">
            <v>44372</v>
          </cell>
          <cell r="B940">
            <v>4280.7</v>
          </cell>
        </row>
        <row r="941">
          <cell r="A941">
            <v>44371</v>
          </cell>
          <cell r="B941">
            <v>4266.49</v>
          </cell>
        </row>
        <row r="942">
          <cell r="A942">
            <v>44370</v>
          </cell>
          <cell r="B942">
            <v>4241.84</v>
          </cell>
        </row>
        <row r="943">
          <cell r="A943">
            <v>44369</v>
          </cell>
          <cell r="B943">
            <v>4246.4399999999996</v>
          </cell>
        </row>
        <row r="944">
          <cell r="A944">
            <v>44368</v>
          </cell>
          <cell r="B944">
            <v>4224.79</v>
          </cell>
        </row>
        <row r="945">
          <cell r="A945">
            <v>44365</v>
          </cell>
          <cell r="B945">
            <v>4166.45</v>
          </cell>
        </row>
        <row r="946">
          <cell r="A946">
            <v>44364</v>
          </cell>
          <cell r="B946">
            <v>4221.8599999999997</v>
          </cell>
        </row>
        <row r="947">
          <cell r="A947">
            <v>44363</v>
          </cell>
          <cell r="B947">
            <v>4223.7</v>
          </cell>
        </row>
        <row r="948">
          <cell r="A948">
            <v>44362</v>
          </cell>
          <cell r="B948">
            <v>4246.59</v>
          </cell>
        </row>
        <row r="949">
          <cell r="A949">
            <v>44361</v>
          </cell>
          <cell r="B949">
            <v>4255.1499999999996</v>
          </cell>
        </row>
        <row r="950">
          <cell r="A950">
            <v>44358</v>
          </cell>
          <cell r="B950">
            <v>4247.4399999999996</v>
          </cell>
        </row>
        <row r="951">
          <cell r="A951">
            <v>44357</v>
          </cell>
          <cell r="B951">
            <v>4239.18</v>
          </cell>
        </row>
        <row r="952">
          <cell r="A952">
            <v>44356</v>
          </cell>
          <cell r="B952">
            <v>4219.55</v>
          </cell>
        </row>
        <row r="953">
          <cell r="A953">
            <v>44355</v>
          </cell>
          <cell r="B953">
            <v>4227.26</v>
          </cell>
        </row>
        <row r="954">
          <cell r="A954">
            <v>44354</v>
          </cell>
          <cell r="B954">
            <v>4226.5200000000004</v>
          </cell>
        </row>
        <row r="955">
          <cell r="A955">
            <v>44351</v>
          </cell>
          <cell r="B955">
            <v>4229.8900000000003</v>
          </cell>
        </row>
        <row r="956">
          <cell r="A956">
            <v>44350</v>
          </cell>
          <cell r="B956">
            <v>4192.8500000000004</v>
          </cell>
        </row>
        <row r="957">
          <cell r="A957">
            <v>44349</v>
          </cell>
          <cell r="B957">
            <v>4208.12</v>
          </cell>
        </row>
        <row r="958">
          <cell r="A958">
            <v>44348</v>
          </cell>
          <cell r="B958">
            <v>4202.04</v>
          </cell>
        </row>
        <row r="959">
          <cell r="A959">
            <v>44344</v>
          </cell>
          <cell r="B959">
            <v>4204.1099999999997</v>
          </cell>
        </row>
        <row r="960">
          <cell r="A960">
            <v>44343</v>
          </cell>
          <cell r="B960">
            <v>4200.88</v>
          </cell>
        </row>
        <row r="961">
          <cell r="A961">
            <v>44342</v>
          </cell>
          <cell r="B961">
            <v>4195.99</v>
          </cell>
        </row>
        <row r="962">
          <cell r="A962">
            <v>44341</v>
          </cell>
          <cell r="B962">
            <v>4188.13</v>
          </cell>
        </row>
        <row r="963">
          <cell r="A963">
            <v>44340</v>
          </cell>
          <cell r="B963">
            <v>4197.05</v>
          </cell>
        </row>
        <row r="964">
          <cell r="A964">
            <v>44337</v>
          </cell>
          <cell r="B964">
            <v>4155.8599999999997</v>
          </cell>
        </row>
        <row r="965">
          <cell r="A965">
            <v>44336</v>
          </cell>
          <cell r="B965">
            <v>4159.12</v>
          </cell>
        </row>
        <row r="966">
          <cell r="A966">
            <v>44335</v>
          </cell>
          <cell r="B966">
            <v>4115.68</v>
          </cell>
        </row>
        <row r="967">
          <cell r="A967">
            <v>44334</v>
          </cell>
          <cell r="B967">
            <v>4127.83</v>
          </cell>
        </row>
        <row r="968">
          <cell r="A968">
            <v>44333</v>
          </cell>
          <cell r="B968">
            <v>4163.29</v>
          </cell>
        </row>
        <row r="969">
          <cell r="A969">
            <v>44330</v>
          </cell>
          <cell r="B969">
            <v>4173.8500000000004</v>
          </cell>
        </row>
        <row r="970">
          <cell r="A970">
            <v>44329</v>
          </cell>
          <cell r="B970">
            <v>4112.5</v>
          </cell>
        </row>
        <row r="971">
          <cell r="A971">
            <v>44328</v>
          </cell>
          <cell r="B971">
            <v>4063.04</v>
          </cell>
        </row>
        <row r="972">
          <cell r="A972">
            <v>44327</v>
          </cell>
          <cell r="B972">
            <v>4152.1000000000004</v>
          </cell>
        </row>
        <row r="973">
          <cell r="A973">
            <v>44326</v>
          </cell>
          <cell r="B973">
            <v>4188.43</v>
          </cell>
        </row>
        <row r="974">
          <cell r="A974">
            <v>44323</v>
          </cell>
          <cell r="B974">
            <v>4232.6000000000004</v>
          </cell>
        </row>
        <row r="975">
          <cell r="A975">
            <v>44322</v>
          </cell>
          <cell r="B975">
            <v>4201.62</v>
          </cell>
        </row>
        <row r="976">
          <cell r="A976">
            <v>44321</v>
          </cell>
          <cell r="B976">
            <v>4167.59</v>
          </cell>
        </row>
        <row r="977">
          <cell r="A977">
            <v>44320</v>
          </cell>
          <cell r="B977">
            <v>4164.66</v>
          </cell>
        </row>
        <row r="978">
          <cell r="A978">
            <v>44319</v>
          </cell>
          <cell r="B978">
            <v>4192.66</v>
          </cell>
        </row>
        <row r="979">
          <cell r="A979">
            <v>44316</v>
          </cell>
          <cell r="B979">
            <v>4181.17</v>
          </cell>
        </row>
        <row r="980">
          <cell r="A980">
            <v>44315</v>
          </cell>
          <cell r="B980">
            <v>4211.47</v>
          </cell>
        </row>
        <row r="981">
          <cell r="A981">
            <v>44314</v>
          </cell>
          <cell r="B981">
            <v>4183.18</v>
          </cell>
        </row>
        <row r="982">
          <cell r="A982">
            <v>44313</v>
          </cell>
          <cell r="B982">
            <v>4186.72</v>
          </cell>
        </row>
        <row r="983">
          <cell r="A983">
            <v>44312</v>
          </cell>
          <cell r="B983">
            <v>4187.62</v>
          </cell>
        </row>
        <row r="984">
          <cell r="A984">
            <v>44309</v>
          </cell>
          <cell r="B984">
            <v>4180.17</v>
          </cell>
        </row>
        <row r="985">
          <cell r="A985">
            <v>44308</v>
          </cell>
          <cell r="B985">
            <v>4134.9799999999996</v>
          </cell>
        </row>
        <row r="986">
          <cell r="A986">
            <v>44307</v>
          </cell>
          <cell r="B986">
            <v>4173.42</v>
          </cell>
        </row>
        <row r="987">
          <cell r="A987">
            <v>44306</v>
          </cell>
          <cell r="B987">
            <v>4134.9399999999996</v>
          </cell>
        </row>
        <row r="988">
          <cell r="A988">
            <v>44305</v>
          </cell>
          <cell r="B988">
            <v>4163.26</v>
          </cell>
        </row>
        <row r="989">
          <cell r="A989">
            <v>44302</v>
          </cell>
          <cell r="B989">
            <v>4185.47</v>
          </cell>
        </row>
        <row r="990">
          <cell r="A990">
            <v>44301</v>
          </cell>
          <cell r="B990">
            <v>4170.42</v>
          </cell>
        </row>
        <row r="991">
          <cell r="A991">
            <v>44300</v>
          </cell>
          <cell r="B991">
            <v>4124.66</v>
          </cell>
        </row>
        <row r="992">
          <cell r="A992">
            <v>44299</v>
          </cell>
          <cell r="B992">
            <v>4141.59</v>
          </cell>
        </row>
        <row r="993">
          <cell r="A993">
            <v>44298</v>
          </cell>
          <cell r="B993">
            <v>4127.99</v>
          </cell>
        </row>
        <row r="994">
          <cell r="A994">
            <v>44295</v>
          </cell>
          <cell r="B994">
            <v>4128.8</v>
          </cell>
        </row>
        <row r="995">
          <cell r="A995">
            <v>44294</v>
          </cell>
          <cell r="B995">
            <v>4097.17</v>
          </cell>
        </row>
        <row r="996">
          <cell r="A996">
            <v>44293</v>
          </cell>
          <cell r="B996">
            <v>4079.95</v>
          </cell>
        </row>
        <row r="997">
          <cell r="A997">
            <v>44292</v>
          </cell>
          <cell r="B997">
            <v>4073.94</v>
          </cell>
        </row>
        <row r="998">
          <cell r="A998">
            <v>44291</v>
          </cell>
          <cell r="B998">
            <v>4077.91</v>
          </cell>
        </row>
        <row r="999">
          <cell r="A999">
            <v>44287</v>
          </cell>
          <cell r="B999">
            <v>4019.87</v>
          </cell>
        </row>
        <row r="1000">
          <cell r="A1000">
            <v>44286</v>
          </cell>
          <cell r="B1000">
            <v>3972.89</v>
          </cell>
        </row>
        <row r="1001">
          <cell r="A1001">
            <v>44285</v>
          </cell>
          <cell r="B1001">
            <v>3958.55</v>
          </cell>
        </row>
        <row r="1002">
          <cell r="A1002">
            <v>44284</v>
          </cell>
          <cell r="B1002">
            <v>3971.09</v>
          </cell>
        </row>
        <row r="1003">
          <cell r="A1003">
            <v>44281</v>
          </cell>
          <cell r="B1003">
            <v>3974.54</v>
          </cell>
        </row>
        <row r="1004">
          <cell r="A1004">
            <v>44280</v>
          </cell>
          <cell r="B1004">
            <v>3909.52</v>
          </cell>
        </row>
        <row r="1005">
          <cell r="A1005">
            <v>44279</v>
          </cell>
          <cell r="B1005">
            <v>3889.14</v>
          </cell>
        </row>
        <row r="1006">
          <cell r="A1006">
            <v>44278</v>
          </cell>
          <cell r="B1006">
            <v>3910.52</v>
          </cell>
        </row>
        <row r="1007">
          <cell r="A1007">
            <v>44277</v>
          </cell>
          <cell r="B1007">
            <v>3940.59</v>
          </cell>
        </row>
        <row r="1008">
          <cell r="A1008">
            <v>44274</v>
          </cell>
          <cell r="B1008">
            <v>3913.1</v>
          </cell>
        </row>
        <row r="1009">
          <cell r="A1009">
            <v>44273</v>
          </cell>
          <cell r="B1009">
            <v>3915.46</v>
          </cell>
        </row>
        <row r="1010">
          <cell r="A1010">
            <v>44272</v>
          </cell>
          <cell r="B1010">
            <v>3974.12</v>
          </cell>
        </row>
        <row r="1011">
          <cell r="A1011">
            <v>44271</v>
          </cell>
          <cell r="B1011">
            <v>3962.71</v>
          </cell>
        </row>
        <row r="1012">
          <cell r="A1012">
            <v>44270</v>
          </cell>
          <cell r="B1012">
            <v>3968.94</v>
          </cell>
        </row>
        <row r="1013">
          <cell r="A1013">
            <v>44267</v>
          </cell>
          <cell r="B1013">
            <v>3943.34</v>
          </cell>
        </row>
        <row r="1014">
          <cell r="A1014">
            <v>44266</v>
          </cell>
          <cell r="B1014">
            <v>3939.34</v>
          </cell>
        </row>
        <row r="1015">
          <cell r="A1015">
            <v>44265</v>
          </cell>
          <cell r="B1015">
            <v>3898.81</v>
          </cell>
        </row>
        <row r="1016">
          <cell r="A1016">
            <v>44264</v>
          </cell>
          <cell r="B1016">
            <v>3875.44</v>
          </cell>
        </row>
        <row r="1017">
          <cell r="A1017">
            <v>44263</v>
          </cell>
          <cell r="B1017">
            <v>3821.35</v>
          </cell>
        </row>
        <row r="1018">
          <cell r="A1018">
            <v>44260</v>
          </cell>
          <cell r="B1018">
            <v>3841.94</v>
          </cell>
        </row>
        <row r="1019">
          <cell r="A1019">
            <v>44259</v>
          </cell>
          <cell r="B1019">
            <v>3768.47</v>
          </cell>
        </row>
        <row r="1020">
          <cell r="A1020">
            <v>44258</v>
          </cell>
          <cell r="B1020">
            <v>3819.72</v>
          </cell>
        </row>
        <row r="1021">
          <cell r="A1021">
            <v>44257</v>
          </cell>
          <cell r="B1021">
            <v>3870.29</v>
          </cell>
        </row>
        <row r="1022">
          <cell r="A1022">
            <v>44256</v>
          </cell>
          <cell r="B1022">
            <v>3901.82</v>
          </cell>
        </row>
        <row r="1023">
          <cell r="A1023">
            <v>44253</v>
          </cell>
          <cell r="B1023">
            <v>3811.15</v>
          </cell>
        </row>
        <row r="1024">
          <cell r="A1024">
            <v>44252</v>
          </cell>
          <cell r="B1024">
            <v>3829.34</v>
          </cell>
        </row>
        <row r="1025">
          <cell r="A1025">
            <v>44251</v>
          </cell>
          <cell r="B1025">
            <v>3925.43</v>
          </cell>
        </row>
        <row r="1026">
          <cell r="A1026">
            <v>44250</v>
          </cell>
          <cell r="B1026">
            <v>3881.37</v>
          </cell>
        </row>
        <row r="1027">
          <cell r="A1027">
            <v>44249</v>
          </cell>
          <cell r="B1027">
            <v>3876.5</v>
          </cell>
        </row>
        <row r="1028">
          <cell r="A1028">
            <v>44246</v>
          </cell>
          <cell r="B1028">
            <v>3906.71</v>
          </cell>
        </row>
        <row r="1029">
          <cell r="A1029">
            <v>44245</v>
          </cell>
          <cell r="B1029">
            <v>3913.97</v>
          </cell>
        </row>
        <row r="1030">
          <cell r="A1030">
            <v>44244</v>
          </cell>
          <cell r="B1030">
            <v>3931.33</v>
          </cell>
        </row>
        <row r="1031">
          <cell r="A1031">
            <v>44243</v>
          </cell>
          <cell r="B1031">
            <v>3932.59</v>
          </cell>
        </row>
        <row r="1032">
          <cell r="A1032">
            <v>44239</v>
          </cell>
          <cell r="B1032">
            <v>3934.83</v>
          </cell>
        </row>
        <row r="1033">
          <cell r="A1033">
            <v>44238</v>
          </cell>
          <cell r="B1033">
            <v>3916.38</v>
          </cell>
        </row>
        <row r="1034">
          <cell r="A1034">
            <v>44237</v>
          </cell>
          <cell r="B1034">
            <v>3909.88</v>
          </cell>
        </row>
        <row r="1035">
          <cell r="A1035">
            <v>44236</v>
          </cell>
          <cell r="B1035">
            <v>3911.23</v>
          </cell>
        </row>
        <row r="1036">
          <cell r="A1036">
            <v>44235</v>
          </cell>
          <cell r="B1036">
            <v>3915.59</v>
          </cell>
        </row>
        <row r="1037">
          <cell r="A1037">
            <v>44232</v>
          </cell>
          <cell r="B1037">
            <v>3886.83</v>
          </cell>
        </row>
        <row r="1038">
          <cell r="A1038">
            <v>44231</v>
          </cell>
          <cell r="B1038">
            <v>3871.74</v>
          </cell>
        </row>
        <row r="1039">
          <cell r="A1039">
            <v>44230</v>
          </cell>
          <cell r="B1039">
            <v>3830.17</v>
          </cell>
        </row>
        <row r="1040">
          <cell r="A1040">
            <v>44229</v>
          </cell>
          <cell r="B1040">
            <v>3826.31</v>
          </cell>
        </row>
        <row r="1041">
          <cell r="A1041">
            <v>44228</v>
          </cell>
          <cell r="B1041">
            <v>3773.86</v>
          </cell>
        </row>
        <row r="1042">
          <cell r="A1042">
            <v>44225</v>
          </cell>
          <cell r="B1042">
            <v>3714.24</v>
          </cell>
        </row>
        <row r="1043">
          <cell r="A1043">
            <v>44224</v>
          </cell>
          <cell r="B1043">
            <v>3787.38</v>
          </cell>
        </row>
        <row r="1044">
          <cell r="A1044">
            <v>44223</v>
          </cell>
          <cell r="B1044">
            <v>3750.77</v>
          </cell>
        </row>
        <row r="1045">
          <cell r="A1045">
            <v>44222</v>
          </cell>
          <cell r="B1045">
            <v>3849.62</v>
          </cell>
        </row>
        <row r="1046">
          <cell r="A1046">
            <v>44221</v>
          </cell>
          <cell r="B1046">
            <v>3855.36</v>
          </cell>
        </row>
        <row r="1047">
          <cell r="A1047">
            <v>44218</v>
          </cell>
          <cell r="B1047">
            <v>3841.47</v>
          </cell>
        </row>
        <row r="1048">
          <cell r="A1048">
            <v>44217</v>
          </cell>
          <cell r="B1048">
            <v>3853.07</v>
          </cell>
        </row>
        <row r="1049">
          <cell r="A1049">
            <v>44216</v>
          </cell>
          <cell r="B1049">
            <v>3851.85</v>
          </cell>
        </row>
        <row r="1050">
          <cell r="A1050">
            <v>44215</v>
          </cell>
          <cell r="B1050">
            <v>3798.91</v>
          </cell>
        </row>
        <row r="1051">
          <cell r="A1051">
            <v>44211</v>
          </cell>
          <cell r="B1051">
            <v>3768.25</v>
          </cell>
        </row>
        <row r="1052">
          <cell r="A1052">
            <v>44210</v>
          </cell>
          <cell r="B1052">
            <v>3795.54</v>
          </cell>
        </row>
        <row r="1053">
          <cell r="A1053">
            <v>44209</v>
          </cell>
          <cell r="B1053">
            <v>3809.84</v>
          </cell>
        </row>
        <row r="1054">
          <cell r="A1054">
            <v>44208</v>
          </cell>
          <cell r="B1054">
            <v>3801.19</v>
          </cell>
        </row>
        <row r="1055">
          <cell r="A1055">
            <v>44207</v>
          </cell>
          <cell r="B1055">
            <v>3799.61</v>
          </cell>
        </row>
        <row r="1056">
          <cell r="A1056">
            <v>44204</v>
          </cell>
          <cell r="B1056">
            <v>3824.68</v>
          </cell>
        </row>
        <row r="1057">
          <cell r="A1057">
            <v>44203</v>
          </cell>
          <cell r="B1057">
            <v>3803.79</v>
          </cell>
        </row>
        <row r="1058">
          <cell r="A1058">
            <v>44202</v>
          </cell>
          <cell r="B1058">
            <v>3748.14</v>
          </cell>
        </row>
        <row r="1059">
          <cell r="A1059">
            <v>44201</v>
          </cell>
          <cell r="B1059">
            <v>3726.86</v>
          </cell>
        </row>
        <row r="1060">
          <cell r="A1060">
            <v>44200</v>
          </cell>
          <cell r="B1060">
            <v>3700.65</v>
          </cell>
        </row>
        <row r="1061">
          <cell r="A1061">
            <v>44196</v>
          </cell>
          <cell r="B1061">
            <v>3756.07</v>
          </cell>
        </row>
        <row r="1062">
          <cell r="A1062">
            <v>44195</v>
          </cell>
          <cell r="B1062">
            <v>3732.04</v>
          </cell>
        </row>
        <row r="1063">
          <cell r="A1063">
            <v>44194</v>
          </cell>
          <cell r="B1063">
            <v>3727.04</v>
          </cell>
        </row>
        <row r="1064">
          <cell r="A1064">
            <v>44193</v>
          </cell>
          <cell r="B1064">
            <v>3735.36</v>
          </cell>
        </row>
        <row r="1065">
          <cell r="A1065">
            <v>44189</v>
          </cell>
          <cell r="B1065">
            <v>3703.06</v>
          </cell>
        </row>
        <row r="1066">
          <cell r="A1066">
            <v>44188</v>
          </cell>
          <cell r="B1066">
            <v>3690.01</v>
          </cell>
        </row>
        <row r="1067">
          <cell r="A1067">
            <v>44187</v>
          </cell>
          <cell r="B1067">
            <v>3687.26</v>
          </cell>
        </row>
        <row r="1068">
          <cell r="A1068">
            <v>44186</v>
          </cell>
          <cell r="B1068">
            <v>3694.92</v>
          </cell>
        </row>
        <row r="1069">
          <cell r="A1069">
            <v>44183</v>
          </cell>
          <cell r="B1069">
            <v>3709.41</v>
          </cell>
        </row>
        <row r="1070">
          <cell r="A1070">
            <v>44182</v>
          </cell>
          <cell r="B1070">
            <v>3722.48</v>
          </cell>
        </row>
        <row r="1071">
          <cell r="A1071">
            <v>44181</v>
          </cell>
          <cell r="B1071">
            <v>3701.17</v>
          </cell>
        </row>
        <row r="1072">
          <cell r="A1072">
            <v>44180</v>
          </cell>
          <cell r="B1072">
            <v>3694.62</v>
          </cell>
        </row>
        <row r="1073">
          <cell r="A1073">
            <v>44179</v>
          </cell>
          <cell r="B1073">
            <v>3647.49</v>
          </cell>
        </row>
        <row r="1074">
          <cell r="A1074">
            <v>44176</v>
          </cell>
          <cell r="B1074">
            <v>3663.46</v>
          </cell>
        </row>
        <row r="1075">
          <cell r="A1075">
            <v>44175</v>
          </cell>
          <cell r="B1075">
            <v>3668.1</v>
          </cell>
        </row>
        <row r="1076">
          <cell r="A1076">
            <v>44174</v>
          </cell>
          <cell r="B1076">
            <v>3672.82</v>
          </cell>
        </row>
        <row r="1077">
          <cell r="A1077">
            <v>44173</v>
          </cell>
          <cell r="B1077">
            <v>3702.25</v>
          </cell>
        </row>
        <row r="1078">
          <cell r="A1078">
            <v>44172</v>
          </cell>
          <cell r="B1078">
            <v>3691.96</v>
          </cell>
        </row>
        <row r="1079">
          <cell r="A1079">
            <v>44169</v>
          </cell>
          <cell r="B1079">
            <v>3699.12</v>
          </cell>
        </row>
        <row r="1080">
          <cell r="A1080">
            <v>44168</v>
          </cell>
          <cell r="B1080">
            <v>3666.72</v>
          </cell>
        </row>
        <row r="1081">
          <cell r="A1081">
            <v>44167</v>
          </cell>
          <cell r="B1081">
            <v>3669.01</v>
          </cell>
        </row>
        <row r="1082">
          <cell r="A1082">
            <v>44166</v>
          </cell>
          <cell r="B1082">
            <v>3662.45</v>
          </cell>
        </row>
        <row r="1083">
          <cell r="A1083">
            <v>44165</v>
          </cell>
          <cell r="B1083">
            <v>3621.63</v>
          </cell>
        </row>
        <row r="1084">
          <cell r="A1084">
            <v>44162</v>
          </cell>
          <cell r="B1084">
            <v>3638.35</v>
          </cell>
        </row>
        <row r="1085">
          <cell r="A1085">
            <v>44160</v>
          </cell>
          <cell r="B1085">
            <v>3629.65</v>
          </cell>
        </row>
        <row r="1086">
          <cell r="A1086">
            <v>44159</v>
          </cell>
          <cell r="B1086">
            <v>3635.41</v>
          </cell>
        </row>
        <row r="1087">
          <cell r="A1087">
            <v>44158</v>
          </cell>
          <cell r="B1087">
            <v>3577.59</v>
          </cell>
        </row>
        <row r="1088">
          <cell r="A1088">
            <v>44155</v>
          </cell>
          <cell r="B1088">
            <v>3557.54</v>
          </cell>
        </row>
        <row r="1089">
          <cell r="A1089">
            <v>44154</v>
          </cell>
          <cell r="B1089">
            <v>3581.87</v>
          </cell>
        </row>
        <row r="1090">
          <cell r="A1090">
            <v>44153</v>
          </cell>
          <cell r="B1090">
            <v>3567.79</v>
          </cell>
        </row>
        <row r="1091">
          <cell r="A1091">
            <v>44152</v>
          </cell>
          <cell r="B1091">
            <v>3609.53</v>
          </cell>
        </row>
        <row r="1092">
          <cell r="A1092">
            <v>44151</v>
          </cell>
          <cell r="B1092">
            <v>3626.91</v>
          </cell>
        </row>
        <row r="1093">
          <cell r="A1093">
            <v>44148</v>
          </cell>
          <cell r="B1093">
            <v>3585.15</v>
          </cell>
        </row>
        <row r="1094">
          <cell r="A1094">
            <v>44147</v>
          </cell>
          <cell r="B1094">
            <v>3537.01</v>
          </cell>
        </row>
        <row r="1095">
          <cell r="A1095">
            <v>44146</v>
          </cell>
          <cell r="B1095">
            <v>3572.66</v>
          </cell>
        </row>
        <row r="1096">
          <cell r="A1096">
            <v>44145</v>
          </cell>
          <cell r="B1096">
            <v>3545.53</v>
          </cell>
        </row>
        <row r="1097">
          <cell r="A1097">
            <v>44144</v>
          </cell>
          <cell r="B1097">
            <v>3550.5</v>
          </cell>
        </row>
        <row r="1098">
          <cell r="A1098">
            <v>44141</v>
          </cell>
          <cell r="B1098">
            <v>3509.44</v>
          </cell>
        </row>
        <row r="1099">
          <cell r="A1099">
            <v>44140</v>
          </cell>
          <cell r="B1099">
            <v>3510.45</v>
          </cell>
        </row>
        <row r="1100">
          <cell r="A1100">
            <v>44139</v>
          </cell>
          <cell r="B1100">
            <v>3443.44</v>
          </cell>
        </row>
        <row r="1101">
          <cell r="A1101">
            <v>44138</v>
          </cell>
          <cell r="B1101">
            <v>3369.16</v>
          </cell>
        </row>
        <row r="1102">
          <cell r="A1102">
            <v>44137</v>
          </cell>
          <cell r="B1102">
            <v>3310.24</v>
          </cell>
        </row>
        <row r="1103">
          <cell r="A1103">
            <v>44134</v>
          </cell>
          <cell r="B1103">
            <v>3269.96</v>
          </cell>
        </row>
        <row r="1104">
          <cell r="A1104">
            <v>44133</v>
          </cell>
          <cell r="B1104">
            <v>3310.11</v>
          </cell>
        </row>
        <row r="1105">
          <cell r="A1105">
            <v>44132</v>
          </cell>
          <cell r="B1105">
            <v>3271.03</v>
          </cell>
        </row>
        <row r="1106">
          <cell r="A1106">
            <v>44131</v>
          </cell>
          <cell r="B1106">
            <v>3390.68</v>
          </cell>
        </row>
        <row r="1107">
          <cell r="A1107">
            <v>44130</v>
          </cell>
          <cell r="B1107">
            <v>3400.97</v>
          </cell>
        </row>
        <row r="1108">
          <cell r="A1108">
            <v>44127</v>
          </cell>
          <cell r="B1108">
            <v>3465.39</v>
          </cell>
        </row>
        <row r="1109">
          <cell r="A1109">
            <v>44126</v>
          </cell>
          <cell r="B1109">
            <v>3453.49</v>
          </cell>
        </row>
        <row r="1110">
          <cell r="A1110">
            <v>44125</v>
          </cell>
          <cell r="B1110">
            <v>3435.56</v>
          </cell>
        </row>
        <row r="1111">
          <cell r="A1111">
            <v>44124</v>
          </cell>
          <cell r="B1111">
            <v>3443.12</v>
          </cell>
        </row>
        <row r="1112">
          <cell r="A1112">
            <v>44123</v>
          </cell>
          <cell r="B1112">
            <v>3426.92</v>
          </cell>
        </row>
        <row r="1113">
          <cell r="A1113">
            <v>44120</v>
          </cell>
          <cell r="B1113">
            <v>3483.81</v>
          </cell>
        </row>
        <row r="1114">
          <cell r="A1114">
            <v>44119</v>
          </cell>
          <cell r="B1114">
            <v>3483.34</v>
          </cell>
        </row>
        <row r="1115">
          <cell r="A1115">
            <v>44118</v>
          </cell>
          <cell r="B1115">
            <v>3488.67</v>
          </cell>
        </row>
        <row r="1116">
          <cell r="A1116">
            <v>44117</v>
          </cell>
          <cell r="B1116">
            <v>3511.93</v>
          </cell>
        </row>
        <row r="1117">
          <cell r="A1117">
            <v>44116</v>
          </cell>
          <cell r="B1117">
            <v>3534.22</v>
          </cell>
        </row>
        <row r="1118">
          <cell r="A1118">
            <v>44113</v>
          </cell>
          <cell r="B1118">
            <v>3477.13</v>
          </cell>
        </row>
        <row r="1119">
          <cell r="A1119">
            <v>44112</v>
          </cell>
          <cell r="B1119">
            <v>3446.83</v>
          </cell>
        </row>
        <row r="1120">
          <cell r="A1120">
            <v>44111</v>
          </cell>
          <cell r="B1120">
            <v>3419.45</v>
          </cell>
        </row>
        <row r="1121">
          <cell r="A1121">
            <v>44110</v>
          </cell>
          <cell r="B1121">
            <v>3360.95</v>
          </cell>
        </row>
        <row r="1122">
          <cell r="A1122">
            <v>44109</v>
          </cell>
          <cell r="B1122">
            <v>3408.63</v>
          </cell>
        </row>
        <row r="1123">
          <cell r="A1123">
            <v>44106</v>
          </cell>
          <cell r="B1123">
            <v>3348.44</v>
          </cell>
        </row>
        <row r="1124">
          <cell r="A1124">
            <v>44105</v>
          </cell>
          <cell r="B1124">
            <v>3380.8</v>
          </cell>
        </row>
        <row r="1125">
          <cell r="A1125">
            <v>44104</v>
          </cell>
          <cell r="B1125">
            <v>3363</v>
          </cell>
        </row>
        <row r="1126">
          <cell r="A1126">
            <v>44103</v>
          </cell>
          <cell r="B1126">
            <v>3335.47</v>
          </cell>
        </row>
        <row r="1127">
          <cell r="A1127">
            <v>44102</v>
          </cell>
          <cell r="B1127">
            <v>3351.6</v>
          </cell>
        </row>
        <row r="1128">
          <cell r="A1128">
            <v>44099</v>
          </cell>
          <cell r="B1128">
            <v>3298.46</v>
          </cell>
        </row>
        <row r="1129">
          <cell r="A1129">
            <v>44098</v>
          </cell>
          <cell r="B1129">
            <v>3246.59</v>
          </cell>
        </row>
        <row r="1130">
          <cell r="A1130">
            <v>44097</v>
          </cell>
          <cell r="B1130">
            <v>3236.92</v>
          </cell>
        </row>
        <row r="1131">
          <cell r="A1131">
            <v>44096</v>
          </cell>
          <cell r="B1131">
            <v>3315.57</v>
          </cell>
        </row>
        <row r="1132">
          <cell r="A1132">
            <v>44095</v>
          </cell>
          <cell r="B1132">
            <v>3281.06</v>
          </cell>
        </row>
        <row r="1133">
          <cell r="A1133">
            <v>44092</v>
          </cell>
          <cell r="B1133">
            <v>3319.47</v>
          </cell>
        </row>
        <row r="1134">
          <cell r="A1134">
            <v>44091</v>
          </cell>
          <cell r="B1134">
            <v>3357.01</v>
          </cell>
        </row>
        <row r="1135">
          <cell r="A1135">
            <v>44090</v>
          </cell>
          <cell r="B1135">
            <v>3385.49</v>
          </cell>
        </row>
        <row r="1136">
          <cell r="A1136">
            <v>44089</v>
          </cell>
          <cell r="B1136">
            <v>3401.2</v>
          </cell>
        </row>
        <row r="1137">
          <cell r="A1137">
            <v>44088</v>
          </cell>
          <cell r="B1137">
            <v>3383.54</v>
          </cell>
        </row>
        <row r="1138">
          <cell r="A1138">
            <v>44085</v>
          </cell>
          <cell r="B1138">
            <v>3340.97</v>
          </cell>
        </row>
        <row r="1139">
          <cell r="A1139">
            <v>44084</v>
          </cell>
          <cell r="B1139">
            <v>3339.19</v>
          </cell>
        </row>
        <row r="1140">
          <cell r="A1140">
            <v>44083</v>
          </cell>
          <cell r="B1140">
            <v>3398.96</v>
          </cell>
        </row>
        <row r="1141">
          <cell r="A1141">
            <v>44082</v>
          </cell>
          <cell r="B1141">
            <v>3331.84</v>
          </cell>
        </row>
        <row r="1142">
          <cell r="A1142">
            <v>44078</v>
          </cell>
          <cell r="B1142">
            <v>3426.96</v>
          </cell>
        </row>
        <row r="1143">
          <cell r="A1143">
            <v>44077</v>
          </cell>
          <cell r="B1143">
            <v>3455.06</v>
          </cell>
        </row>
        <row r="1144">
          <cell r="A1144">
            <v>44076</v>
          </cell>
          <cell r="B1144">
            <v>3580.84</v>
          </cell>
        </row>
        <row r="1145">
          <cell r="A1145">
            <v>44075</v>
          </cell>
          <cell r="B1145">
            <v>3526.65</v>
          </cell>
        </row>
        <row r="1146">
          <cell r="A1146">
            <v>44074</v>
          </cell>
          <cell r="B1146">
            <v>3500.31</v>
          </cell>
        </row>
        <row r="1147">
          <cell r="A1147">
            <v>44071</v>
          </cell>
          <cell r="B1147">
            <v>3508.01</v>
          </cell>
        </row>
        <row r="1148">
          <cell r="A1148">
            <v>44070</v>
          </cell>
          <cell r="B1148">
            <v>3484.55</v>
          </cell>
        </row>
        <row r="1149">
          <cell r="A1149">
            <v>44069</v>
          </cell>
          <cell r="B1149">
            <v>3478.73</v>
          </cell>
        </row>
        <row r="1150">
          <cell r="A1150">
            <v>44068</v>
          </cell>
          <cell r="B1150">
            <v>3443.62</v>
          </cell>
        </row>
        <row r="1151">
          <cell r="A1151">
            <v>44067</v>
          </cell>
          <cell r="B1151">
            <v>3431.28</v>
          </cell>
        </row>
        <row r="1152">
          <cell r="A1152">
            <v>44064</v>
          </cell>
          <cell r="B1152">
            <v>3397.16</v>
          </cell>
        </row>
        <row r="1153">
          <cell r="A1153">
            <v>44063</v>
          </cell>
          <cell r="B1153">
            <v>3385.51</v>
          </cell>
        </row>
        <row r="1154">
          <cell r="A1154">
            <v>44062</v>
          </cell>
          <cell r="B1154">
            <v>3374.85</v>
          </cell>
        </row>
        <row r="1155">
          <cell r="A1155">
            <v>44061</v>
          </cell>
          <cell r="B1155">
            <v>3389.78</v>
          </cell>
        </row>
        <row r="1156">
          <cell r="A1156">
            <v>44060</v>
          </cell>
          <cell r="B1156">
            <v>3381.99</v>
          </cell>
        </row>
        <row r="1157">
          <cell r="A1157">
            <v>44057</v>
          </cell>
          <cell r="B1157">
            <v>3372.85</v>
          </cell>
        </row>
        <row r="1158">
          <cell r="A1158">
            <v>44056</v>
          </cell>
          <cell r="B1158">
            <v>3373.43</v>
          </cell>
        </row>
        <row r="1159">
          <cell r="A1159">
            <v>44055</v>
          </cell>
          <cell r="B1159">
            <v>3380.35</v>
          </cell>
        </row>
        <row r="1160">
          <cell r="A1160">
            <v>44054</v>
          </cell>
          <cell r="B1160">
            <v>3333.69</v>
          </cell>
        </row>
        <row r="1161">
          <cell r="A1161">
            <v>44053</v>
          </cell>
          <cell r="B1161">
            <v>3360.47</v>
          </cell>
        </row>
        <row r="1162">
          <cell r="A1162">
            <v>44050</v>
          </cell>
          <cell r="B1162">
            <v>3351.28</v>
          </cell>
        </row>
        <row r="1163">
          <cell r="A1163">
            <v>44049</v>
          </cell>
          <cell r="B1163">
            <v>3349.16</v>
          </cell>
        </row>
        <row r="1164">
          <cell r="A1164">
            <v>44048</v>
          </cell>
          <cell r="B1164">
            <v>3327.77</v>
          </cell>
        </row>
        <row r="1165">
          <cell r="A1165">
            <v>44047</v>
          </cell>
          <cell r="B1165">
            <v>3306.51</v>
          </cell>
        </row>
        <row r="1166">
          <cell r="A1166">
            <v>44046</v>
          </cell>
          <cell r="B1166">
            <v>3294.61</v>
          </cell>
        </row>
        <row r="1167">
          <cell r="A1167">
            <v>44043</v>
          </cell>
          <cell r="B1167">
            <v>3271.12</v>
          </cell>
        </row>
        <row r="1168">
          <cell r="A1168">
            <v>44042</v>
          </cell>
          <cell r="B1168">
            <v>3246.22</v>
          </cell>
        </row>
        <row r="1169">
          <cell r="A1169">
            <v>44041</v>
          </cell>
          <cell r="B1169">
            <v>3258.44</v>
          </cell>
        </row>
        <row r="1170">
          <cell r="A1170">
            <v>44040</v>
          </cell>
          <cell r="B1170">
            <v>3218.44</v>
          </cell>
        </row>
        <row r="1171">
          <cell r="A1171">
            <v>44039</v>
          </cell>
          <cell r="B1171">
            <v>3239.41</v>
          </cell>
        </row>
        <row r="1172">
          <cell r="A1172">
            <v>44036</v>
          </cell>
          <cell r="B1172">
            <v>3215.63</v>
          </cell>
        </row>
        <row r="1173">
          <cell r="A1173">
            <v>44035</v>
          </cell>
          <cell r="B1173">
            <v>3235.66</v>
          </cell>
        </row>
        <row r="1174">
          <cell r="A1174">
            <v>44034</v>
          </cell>
          <cell r="B1174">
            <v>3276.02</v>
          </cell>
        </row>
        <row r="1175">
          <cell r="A1175">
            <v>44033</v>
          </cell>
          <cell r="B1175">
            <v>3257.3</v>
          </cell>
        </row>
        <row r="1176">
          <cell r="A1176">
            <v>44032</v>
          </cell>
          <cell r="B1176">
            <v>3251.84</v>
          </cell>
        </row>
        <row r="1177">
          <cell r="A1177">
            <v>44029</v>
          </cell>
          <cell r="B1177">
            <v>3224.73</v>
          </cell>
        </row>
        <row r="1178">
          <cell r="A1178">
            <v>44028</v>
          </cell>
          <cell r="B1178">
            <v>3215.57</v>
          </cell>
        </row>
        <row r="1179">
          <cell r="A1179">
            <v>44027</v>
          </cell>
          <cell r="B1179">
            <v>3226.56</v>
          </cell>
        </row>
        <row r="1180">
          <cell r="A1180">
            <v>44026</v>
          </cell>
          <cell r="B1180">
            <v>3197.52</v>
          </cell>
        </row>
        <row r="1181">
          <cell r="A1181">
            <v>44025</v>
          </cell>
          <cell r="B1181">
            <v>3155.22</v>
          </cell>
        </row>
        <row r="1182">
          <cell r="A1182">
            <v>44022</v>
          </cell>
          <cell r="B1182">
            <v>3185.04</v>
          </cell>
        </row>
        <row r="1183">
          <cell r="A1183">
            <v>44021</v>
          </cell>
          <cell r="B1183">
            <v>3152.05</v>
          </cell>
        </row>
        <row r="1184">
          <cell r="A1184">
            <v>44020</v>
          </cell>
          <cell r="B1184">
            <v>3169.94</v>
          </cell>
        </row>
        <row r="1185">
          <cell r="A1185">
            <v>44019</v>
          </cell>
          <cell r="B1185">
            <v>3145.32</v>
          </cell>
        </row>
        <row r="1186">
          <cell r="A1186">
            <v>44018</v>
          </cell>
          <cell r="B1186">
            <v>3179.72</v>
          </cell>
        </row>
        <row r="1187">
          <cell r="A1187">
            <v>44014</v>
          </cell>
          <cell r="B1187">
            <v>3130.01</v>
          </cell>
        </row>
        <row r="1188">
          <cell r="A1188">
            <v>44013</v>
          </cell>
          <cell r="B1188">
            <v>3115.86</v>
          </cell>
        </row>
        <row r="1189">
          <cell r="A1189">
            <v>44012</v>
          </cell>
          <cell r="B1189">
            <v>3100.29</v>
          </cell>
        </row>
        <row r="1190">
          <cell r="A1190">
            <v>44011</v>
          </cell>
          <cell r="B1190">
            <v>3053.24</v>
          </cell>
        </row>
        <row r="1191">
          <cell r="A1191">
            <v>44008</v>
          </cell>
          <cell r="B1191">
            <v>3009.05</v>
          </cell>
        </row>
        <row r="1192">
          <cell r="A1192">
            <v>44007</v>
          </cell>
          <cell r="B1192">
            <v>3083.76</v>
          </cell>
        </row>
        <row r="1193">
          <cell r="A1193">
            <v>44006</v>
          </cell>
          <cell r="B1193">
            <v>3050.33</v>
          </cell>
        </row>
        <row r="1194">
          <cell r="A1194">
            <v>44005</v>
          </cell>
          <cell r="B1194">
            <v>3131.29</v>
          </cell>
        </row>
        <row r="1195">
          <cell r="A1195">
            <v>44004</v>
          </cell>
          <cell r="B1195">
            <v>3117.86</v>
          </cell>
        </row>
        <row r="1196">
          <cell r="A1196">
            <v>44001</v>
          </cell>
          <cell r="B1196">
            <v>3097.74</v>
          </cell>
        </row>
        <row r="1197">
          <cell r="A1197">
            <v>44000</v>
          </cell>
          <cell r="B1197">
            <v>3115.34</v>
          </cell>
        </row>
        <row r="1198">
          <cell r="A1198">
            <v>43999</v>
          </cell>
          <cell r="B1198">
            <v>3113.49</v>
          </cell>
        </row>
        <row r="1199">
          <cell r="A1199">
            <v>43998</v>
          </cell>
          <cell r="B1199">
            <v>3124.74</v>
          </cell>
        </row>
        <row r="1200">
          <cell r="A1200">
            <v>43997</v>
          </cell>
          <cell r="B1200">
            <v>3066.59</v>
          </cell>
        </row>
        <row r="1201">
          <cell r="A1201">
            <v>43994</v>
          </cell>
          <cell r="B1201">
            <v>3041.31</v>
          </cell>
        </row>
        <row r="1202">
          <cell r="A1202">
            <v>43993</v>
          </cell>
          <cell r="B1202">
            <v>3002.1</v>
          </cell>
        </row>
        <row r="1203">
          <cell r="A1203">
            <v>43992</v>
          </cell>
          <cell r="B1203">
            <v>3190.14</v>
          </cell>
        </row>
        <row r="1204">
          <cell r="A1204">
            <v>43991</v>
          </cell>
          <cell r="B1204">
            <v>3207.18</v>
          </cell>
        </row>
        <row r="1205">
          <cell r="A1205">
            <v>43990</v>
          </cell>
          <cell r="B1205">
            <v>3232.39</v>
          </cell>
        </row>
        <row r="1206">
          <cell r="A1206">
            <v>43987</v>
          </cell>
          <cell r="B1206">
            <v>3193.93</v>
          </cell>
        </row>
        <row r="1207">
          <cell r="A1207">
            <v>43986</v>
          </cell>
          <cell r="B1207">
            <v>3112.35</v>
          </cell>
        </row>
        <row r="1208">
          <cell r="A1208">
            <v>43985</v>
          </cell>
          <cell r="B1208">
            <v>3122.87</v>
          </cell>
        </row>
        <row r="1209">
          <cell r="A1209">
            <v>43984</v>
          </cell>
          <cell r="B1209">
            <v>3080.82</v>
          </cell>
        </row>
        <row r="1210">
          <cell r="A1210">
            <v>43983</v>
          </cell>
          <cell r="B1210">
            <v>3055.73</v>
          </cell>
        </row>
        <row r="1211">
          <cell r="A1211">
            <v>43980</v>
          </cell>
          <cell r="B1211">
            <v>3044.31</v>
          </cell>
        </row>
        <row r="1212">
          <cell r="A1212">
            <v>43979</v>
          </cell>
          <cell r="B1212">
            <v>3029.73</v>
          </cell>
        </row>
        <row r="1213">
          <cell r="A1213">
            <v>43978</v>
          </cell>
          <cell r="B1213">
            <v>3036.13</v>
          </cell>
        </row>
        <row r="1214">
          <cell r="A1214">
            <v>43977</v>
          </cell>
          <cell r="B1214">
            <v>2991.77</v>
          </cell>
        </row>
        <row r="1215">
          <cell r="A1215">
            <v>43973</v>
          </cell>
          <cell r="B1215">
            <v>2955.45</v>
          </cell>
        </row>
        <row r="1216">
          <cell r="A1216">
            <v>43972</v>
          </cell>
          <cell r="B1216">
            <v>2948.51</v>
          </cell>
        </row>
        <row r="1217">
          <cell r="A1217">
            <v>43971</v>
          </cell>
          <cell r="B1217">
            <v>2971.61</v>
          </cell>
        </row>
        <row r="1218">
          <cell r="A1218">
            <v>43970</v>
          </cell>
          <cell r="B1218">
            <v>2922.94</v>
          </cell>
        </row>
        <row r="1219">
          <cell r="A1219">
            <v>43969</v>
          </cell>
          <cell r="B1219">
            <v>2953.91</v>
          </cell>
        </row>
        <row r="1220">
          <cell r="A1220">
            <v>43966</v>
          </cell>
          <cell r="B1220">
            <v>2863.7</v>
          </cell>
        </row>
        <row r="1221">
          <cell r="A1221">
            <v>43965</v>
          </cell>
          <cell r="B1221">
            <v>2852.5</v>
          </cell>
        </row>
        <row r="1222">
          <cell r="A1222">
            <v>43964</v>
          </cell>
          <cell r="B1222">
            <v>2820</v>
          </cell>
        </row>
        <row r="1223">
          <cell r="A1223">
            <v>43963</v>
          </cell>
          <cell r="B1223">
            <v>2870.12</v>
          </cell>
        </row>
        <row r="1224">
          <cell r="A1224">
            <v>43962</v>
          </cell>
          <cell r="B1224">
            <v>2930.32</v>
          </cell>
        </row>
        <row r="1225">
          <cell r="A1225">
            <v>43959</v>
          </cell>
          <cell r="B1225">
            <v>2929.8</v>
          </cell>
        </row>
        <row r="1226">
          <cell r="A1226">
            <v>43958</v>
          </cell>
          <cell r="B1226">
            <v>2881.19</v>
          </cell>
        </row>
        <row r="1227">
          <cell r="A1227">
            <v>43957</v>
          </cell>
          <cell r="B1227">
            <v>2848.42</v>
          </cell>
        </row>
        <row r="1228">
          <cell r="A1228">
            <v>43956</v>
          </cell>
          <cell r="B1228">
            <v>2868.44</v>
          </cell>
        </row>
        <row r="1229">
          <cell r="A1229">
            <v>43955</v>
          </cell>
          <cell r="B1229">
            <v>2842.74</v>
          </cell>
        </row>
        <row r="1230">
          <cell r="A1230">
            <v>43952</v>
          </cell>
          <cell r="B1230">
            <v>2830.71</v>
          </cell>
        </row>
        <row r="1231">
          <cell r="A1231">
            <v>43951</v>
          </cell>
          <cell r="B1231">
            <v>2912.43</v>
          </cell>
        </row>
        <row r="1232">
          <cell r="A1232">
            <v>43950</v>
          </cell>
          <cell r="B1232">
            <v>2939.51</v>
          </cell>
        </row>
        <row r="1233">
          <cell r="A1233">
            <v>43949</v>
          </cell>
          <cell r="B1233">
            <v>2863.39</v>
          </cell>
        </row>
        <row r="1234">
          <cell r="A1234">
            <v>43948</v>
          </cell>
          <cell r="B1234">
            <v>2878.48</v>
          </cell>
        </row>
        <row r="1235">
          <cell r="A1235">
            <v>43945</v>
          </cell>
          <cell r="B1235">
            <v>2836.74</v>
          </cell>
        </row>
        <row r="1236">
          <cell r="A1236">
            <v>43944</v>
          </cell>
          <cell r="B1236">
            <v>2797.8</v>
          </cell>
        </row>
        <row r="1237">
          <cell r="A1237">
            <v>43943</v>
          </cell>
          <cell r="B1237">
            <v>2799.31</v>
          </cell>
        </row>
        <row r="1238">
          <cell r="A1238">
            <v>43942</v>
          </cell>
          <cell r="B1238">
            <v>2736.56</v>
          </cell>
        </row>
        <row r="1239">
          <cell r="A1239">
            <v>43941</v>
          </cell>
          <cell r="B1239">
            <v>2823.16</v>
          </cell>
        </row>
        <row r="1240">
          <cell r="A1240">
            <v>43938</v>
          </cell>
          <cell r="B1240">
            <v>2874.56</v>
          </cell>
        </row>
        <row r="1241">
          <cell r="A1241">
            <v>43937</v>
          </cell>
          <cell r="B1241">
            <v>2799.55</v>
          </cell>
        </row>
        <row r="1242">
          <cell r="A1242">
            <v>43936</v>
          </cell>
          <cell r="B1242">
            <v>2783.36</v>
          </cell>
        </row>
        <row r="1243">
          <cell r="A1243">
            <v>43935</v>
          </cell>
          <cell r="B1243">
            <v>2846.06</v>
          </cell>
        </row>
        <row r="1244">
          <cell r="A1244">
            <v>43934</v>
          </cell>
          <cell r="B1244">
            <v>2761.63</v>
          </cell>
        </row>
        <row r="1245">
          <cell r="A1245">
            <v>43930</v>
          </cell>
          <cell r="B1245">
            <v>2789.82</v>
          </cell>
        </row>
        <row r="1246">
          <cell r="A1246">
            <v>43929</v>
          </cell>
          <cell r="B1246">
            <v>2749.98</v>
          </cell>
        </row>
        <row r="1247">
          <cell r="A1247">
            <v>43928</v>
          </cell>
          <cell r="B1247">
            <v>2659.41</v>
          </cell>
        </row>
        <row r="1248">
          <cell r="A1248">
            <v>43927</v>
          </cell>
          <cell r="B1248">
            <v>2663.68</v>
          </cell>
        </row>
        <row r="1249">
          <cell r="A1249">
            <v>43924</v>
          </cell>
          <cell r="B1249">
            <v>2488.65</v>
          </cell>
        </row>
        <row r="1250">
          <cell r="A1250">
            <v>43923</v>
          </cell>
          <cell r="B1250">
            <v>2526.9</v>
          </cell>
        </row>
        <row r="1251">
          <cell r="A1251">
            <v>43922</v>
          </cell>
          <cell r="B1251">
            <v>2470.5</v>
          </cell>
        </row>
        <row r="1252">
          <cell r="A1252">
            <v>43921</v>
          </cell>
          <cell r="B1252">
            <v>2584.59</v>
          </cell>
        </row>
        <row r="1253">
          <cell r="A1253">
            <v>43920</v>
          </cell>
          <cell r="B1253">
            <v>2626.65</v>
          </cell>
        </row>
        <row r="1254">
          <cell r="A1254">
            <v>43917</v>
          </cell>
          <cell r="B1254">
            <v>2541.4699999999998</v>
          </cell>
        </row>
        <row r="1255">
          <cell r="A1255">
            <v>43916</v>
          </cell>
          <cell r="B1255">
            <v>2630.07</v>
          </cell>
        </row>
        <row r="1256">
          <cell r="A1256">
            <v>43915</v>
          </cell>
          <cell r="B1256">
            <v>2475.56</v>
          </cell>
        </row>
        <row r="1257">
          <cell r="A1257">
            <v>43914</v>
          </cell>
          <cell r="B1257">
            <v>2447.33</v>
          </cell>
        </row>
        <row r="1258">
          <cell r="A1258">
            <v>43913</v>
          </cell>
          <cell r="B1258">
            <v>2237.4</v>
          </cell>
        </row>
        <row r="1259">
          <cell r="A1259">
            <v>43910</v>
          </cell>
          <cell r="B1259">
            <v>2304.92</v>
          </cell>
        </row>
        <row r="1260">
          <cell r="A1260">
            <v>43909</v>
          </cell>
          <cell r="B1260">
            <v>2409.39</v>
          </cell>
        </row>
        <row r="1261">
          <cell r="A1261">
            <v>43908</v>
          </cell>
          <cell r="B1261">
            <v>2398.1</v>
          </cell>
        </row>
        <row r="1262">
          <cell r="A1262">
            <v>43907</v>
          </cell>
          <cell r="B1262">
            <v>2529.19</v>
          </cell>
        </row>
        <row r="1263">
          <cell r="A1263">
            <v>43906</v>
          </cell>
          <cell r="B1263">
            <v>2386.13</v>
          </cell>
        </row>
        <row r="1264">
          <cell r="A1264">
            <v>43903</v>
          </cell>
          <cell r="B1264">
            <v>2711.02</v>
          </cell>
        </row>
        <row r="1265">
          <cell r="A1265">
            <v>43902</v>
          </cell>
          <cell r="B1265">
            <v>2480.64</v>
          </cell>
        </row>
        <row r="1266">
          <cell r="A1266">
            <v>43901</v>
          </cell>
          <cell r="B1266">
            <v>2741.38</v>
          </cell>
        </row>
        <row r="1267">
          <cell r="A1267">
            <v>43900</v>
          </cell>
          <cell r="B1267">
            <v>2882.23</v>
          </cell>
        </row>
        <row r="1268">
          <cell r="A1268">
            <v>43899</v>
          </cell>
          <cell r="B1268">
            <v>2746.56</v>
          </cell>
        </row>
        <row r="1269">
          <cell r="A1269">
            <v>43896</v>
          </cell>
          <cell r="B1269">
            <v>2972.37</v>
          </cell>
        </row>
        <row r="1270">
          <cell r="A1270">
            <v>43895</v>
          </cell>
          <cell r="B1270">
            <v>3023.94</v>
          </cell>
        </row>
        <row r="1271">
          <cell r="A1271">
            <v>43894</v>
          </cell>
          <cell r="B1271">
            <v>3130.12</v>
          </cell>
        </row>
        <row r="1272">
          <cell r="A1272">
            <v>43893</v>
          </cell>
          <cell r="B1272">
            <v>3003.37</v>
          </cell>
        </row>
        <row r="1273">
          <cell r="A1273">
            <v>43892</v>
          </cell>
          <cell r="B1273">
            <v>3090.23</v>
          </cell>
        </row>
        <row r="1274">
          <cell r="A1274">
            <v>43889</v>
          </cell>
          <cell r="B1274">
            <v>2954.22</v>
          </cell>
        </row>
        <row r="1275">
          <cell r="A1275">
            <v>43888</v>
          </cell>
          <cell r="B1275">
            <v>2978.76</v>
          </cell>
        </row>
        <row r="1276">
          <cell r="A1276">
            <v>43887</v>
          </cell>
          <cell r="B1276">
            <v>3116.39</v>
          </cell>
        </row>
        <row r="1277">
          <cell r="A1277">
            <v>43886</v>
          </cell>
          <cell r="B1277">
            <v>3128.21</v>
          </cell>
        </row>
        <row r="1278">
          <cell r="A1278">
            <v>43885</v>
          </cell>
          <cell r="B1278">
            <v>3225.89</v>
          </cell>
        </row>
        <row r="1279">
          <cell r="A1279">
            <v>43882</v>
          </cell>
          <cell r="B1279">
            <v>3337.75</v>
          </cell>
        </row>
        <row r="1280">
          <cell r="A1280">
            <v>43881</v>
          </cell>
          <cell r="B1280">
            <v>3373.23</v>
          </cell>
        </row>
        <row r="1281">
          <cell r="A1281">
            <v>43880</v>
          </cell>
          <cell r="B1281">
            <v>3386.15</v>
          </cell>
        </row>
        <row r="1282">
          <cell r="A1282">
            <v>43879</v>
          </cell>
          <cell r="B1282">
            <v>3370.29</v>
          </cell>
        </row>
        <row r="1283">
          <cell r="A1283">
            <v>43875</v>
          </cell>
          <cell r="B1283">
            <v>3380.16</v>
          </cell>
        </row>
        <row r="1284">
          <cell r="A1284">
            <v>43874</v>
          </cell>
          <cell r="B1284">
            <v>3373.94</v>
          </cell>
        </row>
        <row r="1285">
          <cell r="A1285">
            <v>43873</v>
          </cell>
          <cell r="B1285">
            <v>3379.45</v>
          </cell>
        </row>
        <row r="1286">
          <cell r="A1286">
            <v>43872</v>
          </cell>
          <cell r="B1286">
            <v>3357.75</v>
          </cell>
        </row>
        <row r="1287">
          <cell r="A1287">
            <v>43871</v>
          </cell>
          <cell r="B1287">
            <v>3352.09</v>
          </cell>
        </row>
        <row r="1288">
          <cell r="A1288">
            <v>43868</v>
          </cell>
          <cell r="B1288">
            <v>3327.71</v>
          </cell>
        </row>
        <row r="1289">
          <cell r="A1289">
            <v>43867</v>
          </cell>
          <cell r="B1289">
            <v>3345.78</v>
          </cell>
        </row>
        <row r="1290">
          <cell r="A1290">
            <v>43866</v>
          </cell>
          <cell r="B1290">
            <v>3334.69</v>
          </cell>
        </row>
        <row r="1291">
          <cell r="A1291">
            <v>43865</v>
          </cell>
          <cell r="B1291">
            <v>3297.59</v>
          </cell>
        </row>
        <row r="1292">
          <cell r="A1292">
            <v>43864</v>
          </cell>
          <cell r="B1292">
            <v>3248.92</v>
          </cell>
        </row>
        <row r="1293">
          <cell r="A1293">
            <v>43861</v>
          </cell>
          <cell r="B1293">
            <v>3225.52</v>
          </cell>
        </row>
        <row r="1294">
          <cell r="A1294">
            <v>43860</v>
          </cell>
          <cell r="B1294">
            <v>3283.66</v>
          </cell>
        </row>
        <row r="1295">
          <cell r="A1295">
            <v>43859</v>
          </cell>
          <cell r="B1295">
            <v>3273.4</v>
          </cell>
        </row>
        <row r="1296">
          <cell r="A1296">
            <v>43858</v>
          </cell>
          <cell r="B1296">
            <v>3276.24</v>
          </cell>
        </row>
        <row r="1297">
          <cell r="A1297">
            <v>43857</v>
          </cell>
          <cell r="B1297">
            <v>3243.63</v>
          </cell>
        </row>
        <row r="1298">
          <cell r="A1298">
            <v>43854</v>
          </cell>
          <cell r="B1298">
            <v>3295.47</v>
          </cell>
        </row>
        <row r="1299">
          <cell r="A1299">
            <v>43853</v>
          </cell>
          <cell r="B1299">
            <v>3325.54</v>
          </cell>
        </row>
        <row r="1300">
          <cell r="A1300">
            <v>43852</v>
          </cell>
          <cell r="B1300">
            <v>3321.75</v>
          </cell>
        </row>
        <row r="1301">
          <cell r="A1301">
            <v>43851</v>
          </cell>
          <cell r="B1301">
            <v>3320.79</v>
          </cell>
        </row>
        <row r="1302">
          <cell r="A1302">
            <v>43847</v>
          </cell>
          <cell r="B1302">
            <v>3329.62</v>
          </cell>
        </row>
        <row r="1303">
          <cell r="A1303">
            <v>43846</v>
          </cell>
          <cell r="B1303">
            <v>3316.81</v>
          </cell>
        </row>
        <row r="1304">
          <cell r="A1304">
            <v>43845</v>
          </cell>
          <cell r="B1304">
            <v>3289.29</v>
          </cell>
        </row>
        <row r="1305">
          <cell r="A1305">
            <v>43844</v>
          </cell>
          <cell r="B1305">
            <v>3283.15</v>
          </cell>
        </row>
        <row r="1306">
          <cell r="A1306">
            <v>43843</v>
          </cell>
          <cell r="B1306">
            <v>3288.13</v>
          </cell>
        </row>
        <row r="1307">
          <cell r="A1307">
            <v>43840</v>
          </cell>
          <cell r="B1307">
            <v>3265.35</v>
          </cell>
        </row>
        <row r="1308">
          <cell r="A1308">
            <v>43839</v>
          </cell>
          <cell r="B1308">
            <v>3274.7</v>
          </cell>
        </row>
        <row r="1309">
          <cell r="A1309">
            <v>43838</v>
          </cell>
          <cell r="B1309">
            <v>3253.05</v>
          </cell>
        </row>
        <row r="1310">
          <cell r="A1310">
            <v>43837</v>
          </cell>
          <cell r="B1310">
            <v>3237.18</v>
          </cell>
        </row>
        <row r="1311">
          <cell r="A1311">
            <v>43836</v>
          </cell>
          <cell r="B1311">
            <v>3246.28</v>
          </cell>
        </row>
        <row r="1312">
          <cell r="A1312">
            <v>43833</v>
          </cell>
          <cell r="B1312">
            <v>3234.85</v>
          </cell>
        </row>
        <row r="1313">
          <cell r="A1313">
            <v>43832</v>
          </cell>
          <cell r="B1313">
            <v>3257.85</v>
          </cell>
        </row>
        <row r="1314">
          <cell r="A1314">
            <v>43830</v>
          </cell>
          <cell r="B1314">
            <v>3230.78</v>
          </cell>
        </row>
        <row r="1315">
          <cell r="A1315">
            <v>43829</v>
          </cell>
          <cell r="B1315">
            <v>3221.29</v>
          </cell>
        </row>
        <row r="1316">
          <cell r="A1316">
            <v>43826</v>
          </cell>
          <cell r="B1316">
            <v>3240.02</v>
          </cell>
        </row>
        <row r="1317">
          <cell r="A1317">
            <v>43825</v>
          </cell>
          <cell r="B1317">
            <v>3239.91</v>
          </cell>
        </row>
        <row r="1318">
          <cell r="A1318">
            <v>43823</v>
          </cell>
          <cell r="B1318">
            <v>3223.38</v>
          </cell>
        </row>
        <row r="1319">
          <cell r="A1319">
            <v>43822</v>
          </cell>
          <cell r="B1319">
            <v>3224.01</v>
          </cell>
        </row>
        <row r="1320">
          <cell r="A1320">
            <v>43819</v>
          </cell>
          <cell r="B1320">
            <v>3221.22</v>
          </cell>
        </row>
        <row r="1321">
          <cell r="A1321">
            <v>43818</v>
          </cell>
          <cell r="B1321">
            <v>3205.37</v>
          </cell>
        </row>
        <row r="1322">
          <cell r="A1322">
            <v>43817</v>
          </cell>
          <cell r="B1322">
            <v>3191.14</v>
          </cell>
        </row>
        <row r="1323">
          <cell r="A1323">
            <v>43816</v>
          </cell>
          <cell r="B1323">
            <v>3192.52</v>
          </cell>
        </row>
        <row r="1324">
          <cell r="A1324">
            <v>43815</v>
          </cell>
          <cell r="B1324">
            <v>3191.45</v>
          </cell>
        </row>
        <row r="1325">
          <cell r="A1325">
            <v>43812</v>
          </cell>
          <cell r="B1325">
            <v>3168.8</v>
          </cell>
        </row>
        <row r="1326">
          <cell r="A1326">
            <v>43811</v>
          </cell>
          <cell r="B1326">
            <v>3168.57</v>
          </cell>
        </row>
        <row r="1327">
          <cell r="A1327">
            <v>43810</v>
          </cell>
          <cell r="B1327">
            <v>3141.63</v>
          </cell>
        </row>
        <row r="1328">
          <cell r="A1328">
            <v>43809</v>
          </cell>
          <cell r="B1328">
            <v>3132.52</v>
          </cell>
        </row>
        <row r="1329">
          <cell r="A1329">
            <v>43808</v>
          </cell>
          <cell r="B1329">
            <v>3135.96</v>
          </cell>
        </row>
        <row r="1330">
          <cell r="A1330">
            <v>43805</v>
          </cell>
          <cell r="B1330">
            <v>3145.91</v>
          </cell>
        </row>
        <row r="1331">
          <cell r="A1331">
            <v>43804</v>
          </cell>
          <cell r="B1331">
            <v>3117.43</v>
          </cell>
        </row>
        <row r="1332">
          <cell r="A1332">
            <v>43803</v>
          </cell>
          <cell r="B1332">
            <v>3112.76</v>
          </cell>
        </row>
        <row r="1333">
          <cell r="A1333">
            <v>43802</v>
          </cell>
          <cell r="B1333">
            <v>3093.2</v>
          </cell>
        </row>
        <row r="1334">
          <cell r="A1334">
            <v>43801</v>
          </cell>
          <cell r="B1334">
            <v>3113.87</v>
          </cell>
        </row>
        <row r="1335">
          <cell r="A1335">
            <v>43798</v>
          </cell>
          <cell r="B1335">
            <v>3140.98</v>
          </cell>
        </row>
        <row r="1336">
          <cell r="A1336">
            <v>43796</v>
          </cell>
          <cell r="B1336">
            <v>3153.63</v>
          </cell>
        </row>
        <row r="1337">
          <cell r="A1337">
            <v>43795</v>
          </cell>
          <cell r="B1337">
            <v>3140.52</v>
          </cell>
        </row>
        <row r="1338">
          <cell r="A1338">
            <v>43794</v>
          </cell>
          <cell r="B1338">
            <v>3133.64</v>
          </cell>
        </row>
        <row r="1339">
          <cell r="A1339">
            <v>43791</v>
          </cell>
          <cell r="B1339">
            <v>3110.29</v>
          </cell>
        </row>
        <row r="1340">
          <cell r="A1340">
            <v>43790</v>
          </cell>
          <cell r="B1340">
            <v>3103.54</v>
          </cell>
        </row>
        <row r="1341">
          <cell r="A1341">
            <v>43789</v>
          </cell>
          <cell r="B1341">
            <v>3108.46</v>
          </cell>
        </row>
        <row r="1342">
          <cell r="A1342">
            <v>43788</v>
          </cell>
          <cell r="B1342">
            <v>3120.18</v>
          </cell>
        </row>
        <row r="1343">
          <cell r="A1343">
            <v>43787</v>
          </cell>
          <cell r="B1343">
            <v>3122.03</v>
          </cell>
        </row>
        <row r="1344">
          <cell r="A1344">
            <v>43784</v>
          </cell>
          <cell r="B1344">
            <v>3120.46</v>
          </cell>
        </row>
        <row r="1345">
          <cell r="A1345">
            <v>43783</v>
          </cell>
          <cell r="B1345">
            <v>3096.63</v>
          </cell>
        </row>
        <row r="1346">
          <cell r="A1346">
            <v>43782</v>
          </cell>
          <cell r="B1346">
            <v>3094.04</v>
          </cell>
        </row>
        <row r="1347">
          <cell r="A1347">
            <v>43781</v>
          </cell>
          <cell r="B1347">
            <v>3091.84</v>
          </cell>
        </row>
        <row r="1348">
          <cell r="A1348">
            <v>43780</v>
          </cell>
          <cell r="B1348">
            <v>3087.01</v>
          </cell>
        </row>
        <row r="1349">
          <cell r="A1349">
            <v>43777</v>
          </cell>
          <cell r="B1349">
            <v>3093.08</v>
          </cell>
        </row>
        <row r="1350">
          <cell r="A1350">
            <v>43776</v>
          </cell>
          <cell r="B1350">
            <v>3085.18</v>
          </cell>
        </row>
        <row r="1351">
          <cell r="A1351">
            <v>43775</v>
          </cell>
          <cell r="B1351">
            <v>3076.78</v>
          </cell>
        </row>
        <row r="1352">
          <cell r="A1352">
            <v>43774</v>
          </cell>
          <cell r="B1352">
            <v>3074.62</v>
          </cell>
        </row>
        <row r="1353">
          <cell r="A1353">
            <v>43773</v>
          </cell>
          <cell r="B1353">
            <v>3078.27</v>
          </cell>
        </row>
        <row r="1354">
          <cell r="A1354">
            <v>43770</v>
          </cell>
          <cell r="B1354">
            <v>3066.91</v>
          </cell>
        </row>
        <row r="1355">
          <cell r="A1355">
            <v>43769</v>
          </cell>
          <cell r="B1355">
            <v>3037.56</v>
          </cell>
        </row>
        <row r="1356">
          <cell r="A1356">
            <v>43768</v>
          </cell>
          <cell r="B1356">
            <v>3046.77</v>
          </cell>
        </row>
        <row r="1357">
          <cell r="A1357">
            <v>43767</v>
          </cell>
          <cell r="B1357">
            <v>3036.89</v>
          </cell>
        </row>
        <row r="1358">
          <cell r="A1358">
            <v>43766</v>
          </cell>
          <cell r="B1358">
            <v>3039.42</v>
          </cell>
        </row>
        <row r="1359">
          <cell r="A1359">
            <v>43763</v>
          </cell>
          <cell r="B1359">
            <v>3022.55</v>
          </cell>
        </row>
        <row r="1360">
          <cell r="A1360">
            <v>43762</v>
          </cell>
          <cell r="B1360">
            <v>3010.29</v>
          </cell>
        </row>
        <row r="1361">
          <cell r="A1361">
            <v>43761</v>
          </cell>
          <cell r="B1361">
            <v>3004.52</v>
          </cell>
        </row>
        <row r="1362">
          <cell r="A1362">
            <v>43760</v>
          </cell>
          <cell r="B1362">
            <v>2995.99</v>
          </cell>
        </row>
        <row r="1363">
          <cell r="A1363">
            <v>43759</v>
          </cell>
          <cell r="B1363">
            <v>3006.72</v>
          </cell>
        </row>
        <row r="1364">
          <cell r="A1364">
            <v>43756</v>
          </cell>
          <cell r="B1364">
            <v>2986.2</v>
          </cell>
        </row>
        <row r="1365">
          <cell r="A1365">
            <v>43755</v>
          </cell>
          <cell r="B1365">
            <v>2997.95</v>
          </cell>
        </row>
        <row r="1366">
          <cell r="A1366">
            <v>43754</v>
          </cell>
          <cell r="B1366">
            <v>2989.69</v>
          </cell>
        </row>
        <row r="1367">
          <cell r="A1367">
            <v>43753</v>
          </cell>
          <cell r="B1367">
            <v>2995.68</v>
          </cell>
        </row>
        <row r="1368">
          <cell r="A1368">
            <v>43752</v>
          </cell>
          <cell r="B1368">
            <v>2966.15</v>
          </cell>
        </row>
        <row r="1369">
          <cell r="A1369">
            <v>43749</v>
          </cell>
          <cell r="B1369">
            <v>2970.27</v>
          </cell>
        </row>
        <row r="1370">
          <cell r="A1370">
            <v>43748</v>
          </cell>
          <cell r="B1370">
            <v>2938.13</v>
          </cell>
        </row>
        <row r="1371">
          <cell r="A1371">
            <v>43747</v>
          </cell>
          <cell r="B1371">
            <v>2919.4</v>
          </cell>
        </row>
        <row r="1372">
          <cell r="A1372">
            <v>43746</v>
          </cell>
          <cell r="B1372">
            <v>2893.06</v>
          </cell>
        </row>
        <row r="1373">
          <cell r="A1373">
            <v>43745</v>
          </cell>
          <cell r="B1373">
            <v>2938.79</v>
          </cell>
        </row>
        <row r="1374">
          <cell r="A1374">
            <v>43742</v>
          </cell>
          <cell r="B1374">
            <v>2952.01</v>
          </cell>
        </row>
        <row r="1375">
          <cell r="A1375">
            <v>43741</v>
          </cell>
          <cell r="B1375">
            <v>2910.63</v>
          </cell>
        </row>
        <row r="1376">
          <cell r="A1376">
            <v>43740</v>
          </cell>
          <cell r="B1376">
            <v>2887.61</v>
          </cell>
        </row>
        <row r="1377">
          <cell r="A1377">
            <v>43739</v>
          </cell>
          <cell r="B1377">
            <v>2940.25</v>
          </cell>
        </row>
        <row r="1378">
          <cell r="A1378">
            <v>43738</v>
          </cell>
          <cell r="B1378">
            <v>2976.74</v>
          </cell>
        </row>
        <row r="1379">
          <cell r="A1379">
            <v>43735</v>
          </cell>
          <cell r="B1379">
            <v>2961.79</v>
          </cell>
        </row>
        <row r="1380">
          <cell r="A1380">
            <v>43734</v>
          </cell>
          <cell r="B1380">
            <v>2977.62</v>
          </cell>
        </row>
        <row r="1381">
          <cell r="A1381">
            <v>43733</v>
          </cell>
          <cell r="B1381">
            <v>2984.87</v>
          </cell>
        </row>
        <row r="1382">
          <cell r="A1382">
            <v>43732</v>
          </cell>
          <cell r="B1382">
            <v>2966.6</v>
          </cell>
        </row>
        <row r="1383">
          <cell r="A1383">
            <v>43731</v>
          </cell>
          <cell r="B1383">
            <v>2991.78</v>
          </cell>
        </row>
        <row r="1384">
          <cell r="A1384">
            <v>43728</v>
          </cell>
          <cell r="B1384">
            <v>2992.07</v>
          </cell>
        </row>
        <row r="1385">
          <cell r="A1385">
            <v>43727</v>
          </cell>
          <cell r="B1385">
            <v>3006.79</v>
          </cell>
        </row>
        <row r="1386">
          <cell r="A1386">
            <v>43726</v>
          </cell>
          <cell r="B1386">
            <v>3006.73</v>
          </cell>
        </row>
        <row r="1387">
          <cell r="A1387">
            <v>43725</v>
          </cell>
          <cell r="B1387">
            <v>3005.7</v>
          </cell>
        </row>
        <row r="1388">
          <cell r="A1388">
            <v>43724</v>
          </cell>
          <cell r="B1388">
            <v>2997.96</v>
          </cell>
        </row>
        <row r="1389">
          <cell r="A1389">
            <v>43721</v>
          </cell>
          <cell r="B1389">
            <v>3007.39</v>
          </cell>
        </row>
        <row r="1390">
          <cell r="A1390">
            <v>43720</v>
          </cell>
          <cell r="B1390">
            <v>3009.57</v>
          </cell>
        </row>
        <row r="1391">
          <cell r="A1391">
            <v>43719</v>
          </cell>
          <cell r="B1391">
            <v>3000.93</v>
          </cell>
        </row>
        <row r="1392">
          <cell r="A1392">
            <v>43718</v>
          </cell>
          <cell r="B1392">
            <v>2979.39</v>
          </cell>
        </row>
        <row r="1393">
          <cell r="A1393">
            <v>43717</v>
          </cell>
          <cell r="B1393">
            <v>2978.43</v>
          </cell>
        </row>
        <row r="1394">
          <cell r="A1394">
            <v>43714</v>
          </cell>
          <cell r="B1394">
            <v>2978.71</v>
          </cell>
        </row>
        <row r="1395">
          <cell r="A1395">
            <v>43713</v>
          </cell>
          <cell r="B1395">
            <v>2976</v>
          </cell>
        </row>
        <row r="1396">
          <cell r="A1396">
            <v>43712</v>
          </cell>
          <cell r="B1396">
            <v>2937.78</v>
          </cell>
        </row>
        <row r="1397">
          <cell r="A1397">
            <v>43711</v>
          </cell>
          <cell r="B1397">
            <v>2906.27</v>
          </cell>
        </row>
        <row r="1398">
          <cell r="A1398">
            <v>43707</v>
          </cell>
          <cell r="B1398">
            <v>2926.46</v>
          </cell>
        </row>
        <row r="1399">
          <cell r="A1399">
            <v>43706</v>
          </cell>
          <cell r="B1399">
            <v>2924.58</v>
          </cell>
        </row>
        <row r="1400">
          <cell r="A1400">
            <v>43705</v>
          </cell>
          <cell r="B1400">
            <v>2887.94</v>
          </cell>
        </row>
        <row r="1401">
          <cell r="A1401">
            <v>43704</v>
          </cell>
          <cell r="B1401">
            <v>2869.16</v>
          </cell>
        </row>
        <row r="1402">
          <cell r="A1402">
            <v>43703</v>
          </cell>
          <cell r="B1402">
            <v>2878.38</v>
          </cell>
        </row>
        <row r="1403">
          <cell r="A1403">
            <v>43700</v>
          </cell>
          <cell r="B1403">
            <v>2847.11</v>
          </cell>
        </row>
        <row r="1404">
          <cell r="A1404">
            <v>43699</v>
          </cell>
          <cell r="B1404">
            <v>2922.95</v>
          </cell>
        </row>
        <row r="1405">
          <cell r="A1405">
            <v>43698</v>
          </cell>
          <cell r="B1405">
            <v>2924.43</v>
          </cell>
        </row>
        <row r="1406">
          <cell r="A1406">
            <v>43697</v>
          </cell>
          <cell r="B1406">
            <v>2900.51</v>
          </cell>
        </row>
        <row r="1407">
          <cell r="A1407">
            <v>43696</v>
          </cell>
          <cell r="B1407">
            <v>2923.65</v>
          </cell>
        </row>
        <row r="1408">
          <cell r="A1408">
            <v>43693</v>
          </cell>
          <cell r="B1408">
            <v>2888.68</v>
          </cell>
        </row>
        <row r="1409">
          <cell r="A1409">
            <v>43692</v>
          </cell>
          <cell r="B1409">
            <v>2847.6</v>
          </cell>
        </row>
        <row r="1410">
          <cell r="A1410">
            <v>43691</v>
          </cell>
          <cell r="B1410">
            <v>2840.6</v>
          </cell>
        </row>
        <row r="1411">
          <cell r="A1411">
            <v>43690</v>
          </cell>
          <cell r="B1411">
            <v>2926.32</v>
          </cell>
        </row>
        <row r="1412">
          <cell r="A1412">
            <v>43689</v>
          </cell>
          <cell r="B1412">
            <v>2883.75</v>
          </cell>
        </row>
        <row r="1413">
          <cell r="A1413">
            <v>43686</v>
          </cell>
          <cell r="B1413">
            <v>2918.65</v>
          </cell>
        </row>
        <row r="1414">
          <cell r="A1414">
            <v>43685</v>
          </cell>
          <cell r="B1414">
            <v>2938.09</v>
          </cell>
        </row>
        <row r="1415">
          <cell r="A1415">
            <v>43684</v>
          </cell>
          <cell r="B1415">
            <v>2883.98</v>
          </cell>
        </row>
        <row r="1416">
          <cell r="A1416">
            <v>43683</v>
          </cell>
          <cell r="B1416">
            <v>2881.77</v>
          </cell>
        </row>
        <row r="1417">
          <cell r="A1417">
            <v>43682</v>
          </cell>
          <cell r="B1417">
            <v>2844.74</v>
          </cell>
        </row>
        <row r="1418">
          <cell r="A1418">
            <v>43679</v>
          </cell>
          <cell r="B1418">
            <v>2932.05</v>
          </cell>
        </row>
        <row r="1419">
          <cell r="A1419">
            <v>43678</v>
          </cell>
          <cell r="B1419">
            <v>2953.56</v>
          </cell>
        </row>
        <row r="1420">
          <cell r="A1420">
            <v>43677</v>
          </cell>
          <cell r="B1420">
            <v>2980.38</v>
          </cell>
        </row>
        <row r="1421">
          <cell r="A1421">
            <v>43676</v>
          </cell>
          <cell r="B1421">
            <v>3013.18</v>
          </cell>
        </row>
        <row r="1422">
          <cell r="A1422">
            <v>43675</v>
          </cell>
          <cell r="B1422">
            <v>3020.97</v>
          </cell>
        </row>
        <row r="1423">
          <cell r="A1423">
            <v>43672</v>
          </cell>
          <cell r="B1423">
            <v>3025.86</v>
          </cell>
        </row>
        <row r="1424">
          <cell r="A1424">
            <v>43671</v>
          </cell>
          <cell r="B1424">
            <v>3003.67</v>
          </cell>
        </row>
        <row r="1425">
          <cell r="A1425">
            <v>43670</v>
          </cell>
          <cell r="B1425">
            <v>3019.56</v>
          </cell>
        </row>
        <row r="1426">
          <cell r="A1426">
            <v>43669</v>
          </cell>
          <cell r="B1426">
            <v>3005.47</v>
          </cell>
        </row>
        <row r="1427">
          <cell r="A1427">
            <v>43668</v>
          </cell>
          <cell r="B1427">
            <v>2985.03</v>
          </cell>
        </row>
        <row r="1428">
          <cell r="A1428">
            <v>43665</v>
          </cell>
          <cell r="B1428">
            <v>2976.61</v>
          </cell>
        </row>
        <row r="1429">
          <cell r="A1429">
            <v>43664</v>
          </cell>
          <cell r="B1429">
            <v>2995.11</v>
          </cell>
        </row>
        <row r="1430">
          <cell r="A1430">
            <v>43663</v>
          </cell>
          <cell r="B1430">
            <v>2984.42</v>
          </cell>
        </row>
        <row r="1431">
          <cell r="A1431">
            <v>43662</v>
          </cell>
          <cell r="B1431">
            <v>3004.04</v>
          </cell>
        </row>
        <row r="1432">
          <cell r="A1432">
            <v>43661</v>
          </cell>
          <cell r="B1432">
            <v>3014.3</v>
          </cell>
        </row>
        <row r="1433">
          <cell r="A1433">
            <v>43658</v>
          </cell>
          <cell r="B1433">
            <v>3013.77</v>
          </cell>
        </row>
        <row r="1434">
          <cell r="A1434">
            <v>43657</v>
          </cell>
          <cell r="B1434">
            <v>2999.91</v>
          </cell>
        </row>
        <row r="1435">
          <cell r="A1435">
            <v>43656</v>
          </cell>
          <cell r="B1435">
            <v>2993.07</v>
          </cell>
        </row>
        <row r="1436">
          <cell r="A1436">
            <v>43655</v>
          </cell>
          <cell r="B1436">
            <v>2979.63</v>
          </cell>
        </row>
        <row r="1437">
          <cell r="A1437">
            <v>43654</v>
          </cell>
          <cell r="B1437">
            <v>2975.95</v>
          </cell>
        </row>
        <row r="1438">
          <cell r="A1438">
            <v>43651</v>
          </cell>
          <cell r="B1438">
            <v>2990.41</v>
          </cell>
        </row>
        <row r="1439">
          <cell r="A1439">
            <v>43649</v>
          </cell>
          <cell r="B1439">
            <v>2995.82</v>
          </cell>
        </row>
        <row r="1440">
          <cell r="A1440">
            <v>43648</v>
          </cell>
          <cell r="B1440">
            <v>2973.01</v>
          </cell>
        </row>
        <row r="1441">
          <cell r="A1441">
            <v>43647</v>
          </cell>
          <cell r="B1441">
            <v>2964.33</v>
          </cell>
        </row>
        <row r="1442">
          <cell r="A1442">
            <v>43644</v>
          </cell>
          <cell r="B1442">
            <v>2941.76</v>
          </cell>
        </row>
        <row r="1443">
          <cell r="A1443">
            <v>43643</v>
          </cell>
          <cell r="B1443">
            <v>2924.92</v>
          </cell>
        </row>
        <row r="1444">
          <cell r="A1444">
            <v>43642</v>
          </cell>
          <cell r="B1444">
            <v>2913.78</v>
          </cell>
        </row>
        <row r="1445">
          <cell r="A1445">
            <v>43641</v>
          </cell>
          <cell r="B1445">
            <v>2917.38</v>
          </cell>
        </row>
        <row r="1446">
          <cell r="A1446">
            <v>43640</v>
          </cell>
          <cell r="B1446">
            <v>2945.35</v>
          </cell>
        </row>
        <row r="1447">
          <cell r="A1447">
            <v>43637</v>
          </cell>
          <cell r="B1447">
            <v>2950.46</v>
          </cell>
        </row>
        <row r="1448">
          <cell r="A1448">
            <v>43636</v>
          </cell>
          <cell r="B1448">
            <v>2954.18</v>
          </cell>
        </row>
        <row r="1449">
          <cell r="A1449">
            <v>43635</v>
          </cell>
          <cell r="B1449">
            <v>2926.46</v>
          </cell>
        </row>
        <row r="1450">
          <cell r="A1450">
            <v>43634</v>
          </cell>
          <cell r="B1450">
            <v>2917.75</v>
          </cell>
        </row>
        <row r="1451">
          <cell r="A1451">
            <v>43633</v>
          </cell>
          <cell r="B1451">
            <v>2889.67</v>
          </cell>
        </row>
        <row r="1452">
          <cell r="A1452">
            <v>43630</v>
          </cell>
          <cell r="B1452">
            <v>2886.98</v>
          </cell>
        </row>
        <row r="1453">
          <cell r="A1453">
            <v>43629</v>
          </cell>
          <cell r="B1453">
            <v>2891.64</v>
          </cell>
        </row>
        <row r="1454">
          <cell r="A1454">
            <v>43628</v>
          </cell>
          <cell r="B1454">
            <v>2879.84</v>
          </cell>
        </row>
        <row r="1455">
          <cell r="A1455">
            <v>43627</v>
          </cell>
          <cell r="B1455">
            <v>2885.72</v>
          </cell>
        </row>
        <row r="1456">
          <cell r="A1456">
            <v>43626</v>
          </cell>
          <cell r="B1456">
            <v>2886.73</v>
          </cell>
        </row>
        <row r="1457">
          <cell r="A1457">
            <v>43623</v>
          </cell>
          <cell r="B1457">
            <v>2873.34</v>
          </cell>
        </row>
        <row r="1458">
          <cell r="A1458">
            <v>43622</v>
          </cell>
          <cell r="B1458">
            <v>2843.49</v>
          </cell>
        </row>
        <row r="1459">
          <cell r="A1459">
            <v>43621</v>
          </cell>
          <cell r="B1459">
            <v>2826.15</v>
          </cell>
        </row>
        <row r="1460">
          <cell r="A1460">
            <v>43620</v>
          </cell>
          <cell r="B1460">
            <v>2803.27</v>
          </cell>
        </row>
        <row r="1461">
          <cell r="A1461">
            <v>43619</v>
          </cell>
          <cell r="B1461">
            <v>2744.45</v>
          </cell>
        </row>
        <row r="1462">
          <cell r="A1462">
            <v>43616</v>
          </cell>
          <cell r="B1462">
            <v>2752.06</v>
          </cell>
        </row>
        <row r="1463">
          <cell r="A1463">
            <v>43615</v>
          </cell>
          <cell r="B1463">
            <v>2788.86</v>
          </cell>
        </row>
        <row r="1464">
          <cell r="A1464">
            <v>43614</v>
          </cell>
          <cell r="B1464">
            <v>2783.02</v>
          </cell>
        </row>
        <row r="1465">
          <cell r="A1465">
            <v>43613</v>
          </cell>
          <cell r="B1465">
            <v>2802.39</v>
          </cell>
        </row>
        <row r="1466">
          <cell r="A1466">
            <v>43609</v>
          </cell>
          <cell r="B1466">
            <v>2826.06</v>
          </cell>
        </row>
        <row r="1467">
          <cell r="A1467">
            <v>43608</v>
          </cell>
          <cell r="B1467">
            <v>2822.24</v>
          </cell>
        </row>
        <row r="1468">
          <cell r="A1468">
            <v>43607</v>
          </cell>
          <cell r="B1468">
            <v>2856.27</v>
          </cell>
        </row>
        <row r="1469">
          <cell r="A1469">
            <v>43606</v>
          </cell>
          <cell r="B1469">
            <v>2864.36</v>
          </cell>
        </row>
        <row r="1470">
          <cell r="A1470">
            <v>43605</v>
          </cell>
          <cell r="B1470">
            <v>2840.23</v>
          </cell>
        </row>
        <row r="1471">
          <cell r="A1471">
            <v>43602</v>
          </cell>
          <cell r="B1471">
            <v>2859.53</v>
          </cell>
        </row>
        <row r="1472">
          <cell r="A1472">
            <v>43601</v>
          </cell>
          <cell r="B1472">
            <v>2876.32</v>
          </cell>
        </row>
        <row r="1473">
          <cell r="A1473">
            <v>43600</v>
          </cell>
          <cell r="B1473">
            <v>2850.96</v>
          </cell>
        </row>
        <row r="1474">
          <cell r="A1474">
            <v>43599</v>
          </cell>
          <cell r="B1474">
            <v>2834.41</v>
          </cell>
        </row>
        <row r="1475">
          <cell r="A1475">
            <v>43598</v>
          </cell>
          <cell r="B1475">
            <v>2811.87</v>
          </cell>
        </row>
        <row r="1476">
          <cell r="A1476">
            <v>43595</v>
          </cell>
          <cell r="B1476">
            <v>2881.4</v>
          </cell>
        </row>
        <row r="1477">
          <cell r="A1477">
            <v>43594</v>
          </cell>
          <cell r="B1477">
            <v>2870.72</v>
          </cell>
        </row>
        <row r="1478">
          <cell r="A1478">
            <v>43593</v>
          </cell>
          <cell r="B1478">
            <v>2879.42</v>
          </cell>
        </row>
        <row r="1479">
          <cell r="A1479">
            <v>43592</v>
          </cell>
          <cell r="B1479">
            <v>2884.05</v>
          </cell>
        </row>
        <row r="1480">
          <cell r="A1480">
            <v>43591</v>
          </cell>
          <cell r="B1480">
            <v>2932.47</v>
          </cell>
        </row>
        <row r="1481">
          <cell r="A1481">
            <v>43588</v>
          </cell>
          <cell r="B1481">
            <v>2945.64</v>
          </cell>
        </row>
        <row r="1482">
          <cell r="A1482">
            <v>43587</v>
          </cell>
          <cell r="B1482">
            <v>2917.52</v>
          </cell>
        </row>
        <row r="1483">
          <cell r="A1483">
            <v>43586</v>
          </cell>
          <cell r="B1483">
            <v>2923.73</v>
          </cell>
        </row>
        <row r="1484">
          <cell r="A1484">
            <v>43585</v>
          </cell>
          <cell r="B1484">
            <v>2945.83</v>
          </cell>
        </row>
        <row r="1485">
          <cell r="A1485">
            <v>43584</v>
          </cell>
          <cell r="B1485">
            <v>2943.03</v>
          </cell>
        </row>
        <row r="1486">
          <cell r="A1486">
            <v>43581</v>
          </cell>
          <cell r="B1486">
            <v>2939.88</v>
          </cell>
        </row>
        <row r="1487">
          <cell r="A1487">
            <v>43580</v>
          </cell>
          <cell r="B1487">
            <v>2926.17</v>
          </cell>
        </row>
        <row r="1488">
          <cell r="A1488">
            <v>43579</v>
          </cell>
          <cell r="B1488">
            <v>2927.25</v>
          </cell>
        </row>
        <row r="1489">
          <cell r="A1489">
            <v>43578</v>
          </cell>
          <cell r="B1489">
            <v>2933.68</v>
          </cell>
        </row>
        <row r="1490">
          <cell r="A1490">
            <v>43577</v>
          </cell>
          <cell r="B1490">
            <v>2907.97</v>
          </cell>
        </row>
        <row r="1491">
          <cell r="A1491">
            <v>43573</v>
          </cell>
          <cell r="B1491">
            <v>2905.03</v>
          </cell>
        </row>
        <row r="1492">
          <cell r="A1492">
            <v>43572</v>
          </cell>
          <cell r="B1492">
            <v>2900.45</v>
          </cell>
        </row>
        <row r="1493">
          <cell r="A1493">
            <v>43571</v>
          </cell>
          <cell r="B1493">
            <v>2907.06</v>
          </cell>
        </row>
        <row r="1494">
          <cell r="A1494">
            <v>43570</v>
          </cell>
          <cell r="B1494">
            <v>2905.58</v>
          </cell>
        </row>
        <row r="1495">
          <cell r="A1495">
            <v>43567</v>
          </cell>
          <cell r="B1495">
            <v>2907.41</v>
          </cell>
        </row>
        <row r="1496">
          <cell r="A1496">
            <v>43566</v>
          </cell>
          <cell r="B1496">
            <v>2888.32</v>
          </cell>
        </row>
        <row r="1497">
          <cell r="A1497">
            <v>43565</v>
          </cell>
          <cell r="B1497">
            <v>2888.21</v>
          </cell>
        </row>
        <row r="1498">
          <cell r="A1498">
            <v>43564</v>
          </cell>
          <cell r="B1498">
            <v>2878.2</v>
          </cell>
        </row>
        <row r="1499">
          <cell r="A1499">
            <v>43563</v>
          </cell>
          <cell r="B1499">
            <v>2895.77</v>
          </cell>
        </row>
        <row r="1500">
          <cell r="A1500">
            <v>43560</v>
          </cell>
          <cell r="B1500">
            <v>2892.74</v>
          </cell>
        </row>
        <row r="1501">
          <cell r="A1501">
            <v>43559</v>
          </cell>
          <cell r="B1501">
            <v>2879.39</v>
          </cell>
        </row>
        <row r="1502">
          <cell r="A1502">
            <v>43558</v>
          </cell>
          <cell r="B1502">
            <v>2873.4</v>
          </cell>
        </row>
        <row r="1503">
          <cell r="A1503">
            <v>43557</v>
          </cell>
          <cell r="B1503">
            <v>2867.24</v>
          </cell>
        </row>
        <row r="1504">
          <cell r="A1504">
            <v>43556</v>
          </cell>
          <cell r="B1504">
            <v>2867.19</v>
          </cell>
        </row>
        <row r="1505">
          <cell r="A1505">
            <v>43553</v>
          </cell>
          <cell r="B1505">
            <v>2834.4</v>
          </cell>
        </row>
        <row r="1506">
          <cell r="A1506">
            <v>43552</v>
          </cell>
          <cell r="B1506">
            <v>2815.44</v>
          </cell>
        </row>
        <row r="1507">
          <cell r="A1507">
            <v>43551</v>
          </cell>
          <cell r="B1507">
            <v>2805.37</v>
          </cell>
        </row>
        <row r="1508">
          <cell r="A1508">
            <v>43550</v>
          </cell>
          <cell r="B1508">
            <v>2818.46</v>
          </cell>
        </row>
        <row r="1509">
          <cell r="A1509">
            <v>43549</v>
          </cell>
          <cell r="B1509">
            <v>2798.36</v>
          </cell>
        </row>
        <row r="1510">
          <cell r="A1510">
            <v>43546</v>
          </cell>
          <cell r="B1510">
            <v>2800.71</v>
          </cell>
        </row>
        <row r="1511">
          <cell r="A1511">
            <v>43545</v>
          </cell>
          <cell r="B1511">
            <v>2854.88</v>
          </cell>
        </row>
        <row r="1512">
          <cell r="A1512">
            <v>43544</v>
          </cell>
          <cell r="B1512">
            <v>2824.23</v>
          </cell>
        </row>
        <row r="1513">
          <cell r="A1513">
            <v>43543</v>
          </cell>
          <cell r="B1513">
            <v>2832.57</v>
          </cell>
        </row>
        <row r="1514">
          <cell r="A1514">
            <v>43542</v>
          </cell>
          <cell r="B1514">
            <v>2832.94</v>
          </cell>
        </row>
        <row r="1515">
          <cell r="A1515">
            <v>43539</v>
          </cell>
          <cell r="B1515">
            <v>2822.48</v>
          </cell>
        </row>
        <row r="1516">
          <cell r="A1516">
            <v>43538</v>
          </cell>
          <cell r="B1516">
            <v>2808.48</v>
          </cell>
        </row>
        <row r="1517">
          <cell r="A1517">
            <v>43537</v>
          </cell>
          <cell r="B1517">
            <v>2810.92</v>
          </cell>
        </row>
        <row r="1518">
          <cell r="A1518">
            <v>43536</v>
          </cell>
          <cell r="B1518">
            <v>2791.52</v>
          </cell>
        </row>
        <row r="1519">
          <cell r="A1519">
            <v>43535</v>
          </cell>
          <cell r="B1519">
            <v>2783.3</v>
          </cell>
        </row>
        <row r="1520">
          <cell r="A1520">
            <v>43532</v>
          </cell>
          <cell r="B1520">
            <v>2743.07</v>
          </cell>
        </row>
        <row r="1521">
          <cell r="A1521">
            <v>43531</v>
          </cell>
          <cell r="B1521">
            <v>2748.93</v>
          </cell>
        </row>
        <row r="1522">
          <cell r="A1522">
            <v>43530</v>
          </cell>
          <cell r="B1522">
            <v>2771.45</v>
          </cell>
        </row>
        <row r="1523">
          <cell r="A1523">
            <v>43529</v>
          </cell>
          <cell r="B1523">
            <v>2789.65</v>
          </cell>
        </row>
        <row r="1524">
          <cell r="A1524">
            <v>43528</v>
          </cell>
          <cell r="B1524">
            <v>2792.81</v>
          </cell>
        </row>
        <row r="1525">
          <cell r="A1525">
            <v>43525</v>
          </cell>
          <cell r="B1525">
            <v>2803.69</v>
          </cell>
        </row>
        <row r="1526">
          <cell r="A1526">
            <v>43524</v>
          </cell>
          <cell r="B1526">
            <v>2784.49</v>
          </cell>
        </row>
        <row r="1527">
          <cell r="A1527">
            <v>43523</v>
          </cell>
          <cell r="B1527">
            <v>2792.38</v>
          </cell>
        </row>
        <row r="1528">
          <cell r="A1528">
            <v>43522</v>
          </cell>
          <cell r="B1528">
            <v>2793.9</v>
          </cell>
        </row>
        <row r="1529">
          <cell r="A1529">
            <v>43521</v>
          </cell>
          <cell r="B1529">
            <v>2796.11</v>
          </cell>
        </row>
        <row r="1530">
          <cell r="A1530">
            <v>43518</v>
          </cell>
          <cell r="B1530">
            <v>2792.67</v>
          </cell>
        </row>
        <row r="1531">
          <cell r="A1531">
            <v>43517</v>
          </cell>
          <cell r="B1531">
            <v>2774.88</v>
          </cell>
        </row>
        <row r="1532">
          <cell r="A1532">
            <v>43516</v>
          </cell>
          <cell r="B1532">
            <v>2784.7</v>
          </cell>
        </row>
        <row r="1533">
          <cell r="A1533">
            <v>43515</v>
          </cell>
          <cell r="B1533">
            <v>2779.76</v>
          </cell>
        </row>
        <row r="1534">
          <cell r="A1534">
            <v>43511</v>
          </cell>
          <cell r="B1534">
            <v>2775.6</v>
          </cell>
        </row>
        <row r="1535">
          <cell r="A1535">
            <v>43510</v>
          </cell>
          <cell r="B1535">
            <v>2745.73</v>
          </cell>
        </row>
        <row r="1536">
          <cell r="A1536">
            <v>43509</v>
          </cell>
          <cell r="B1536">
            <v>2753.03</v>
          </cell>
        </row>
        <row r="1537">
          <cell r="A1537">
            <v>43508</v>
          </cell>
          <cell r="B1537">
            <v>2744.73</v>
          </cell>
        </row>
        <row r="1538">
          <cell r="A1538">
            <v>43507</v>
          </cell>
          <cell r="B1538">
            <v>2709.8</v>
          </cell>
        </row>
        <row r="1539">
          <cell r="A1539">
            <v>43504</v>
          </cell>
          <cell r="B1539">
            <v>2707.88</v>
          </cell>
        </row>
        <row r="1540">
          <cell r="A1540">
            <v>43503</v>
          </cell>
          <cell r="B1540">
            <v>2706.05</v>
          </cell>
        </row>
        <row r="1541">
          <cell r="A1541">
            <v>43502</v>
          </cell>
          <cell r="B1541">
            <v>2731.61</v>
          </cell>
        </row>
        <row r="1542">
          <cell r="A1542">
            <v>43501</v>
          </cell>
          <cell r="B1542">
            <v>2737.7</v>
          </cell>
        </row>
        <row r="1543">
          <cell r="A1543">
            <v>43500</v>
          </cell>
          <cell r="B1543">
            <v>2724.87</v>
          </cell>
        </row>
        <row r="1544">
          <cell r="A1544">
            <v>43497</v>
          </cell>
          <cell r="B1544">
            <v>2706.53</v>
          </cell>
        </row>
        <row r="1545">
          <cell r="A1545">
            <v>43496</v>
          </cell>
          <cell r="B1545">
            <v>2704.1</v>
          </cell>
        </row>
        <row r="1546">
          <cell r="A1546">
            <v>43495</v>
          </cell>
          <cell r="B1546">
            <v>2681.05</v>
          </cell>
        </row>
        <row r="1547">
          <cell r="A1547">
            <v>43494</v>
          </cell>
          <cell r="B1547">
            <v>2640</v>
          </cell>
        </row>
        <row r="1548">
          <cell r="A1548">
            <v>43493</v>
          </cell>
          <cell r="B1548">
            <v>2643.85</v>
          </cell>
        </row>
        <row r="1549">
          <cell r="A1549">
            <v>43490</v>
          </cell>
          <cell r="B1549">
            <v>2664.76</v>
          </cell>
        </row>
        <row r="1550">
          <cell r="A1550">
            <v>43489</v>
          </cell>
          <cell r="B1550">
            <v>2642.33</v>
          </cell>
        </row>
        <row r="1551">
          <cell r="A1551">
            <v>43488</v>
          </cell>
          <cell r="B1551">
            <v>2638.7</v>
          </cell>
        </row>
        <row r="1552">
          <cell r="A1552">
            <v>43487</v>
          </cell>
          <cell r="B1552">
            <v>2632.9</v>
          </cell>
        </row>
        <row r="1553">
          <cell r="A1553">
            <v>43483</v>
          </cell>
          <cell r="B1553">
            <v>2670.71</v>
          </cell>
        </row>
        <row r="1554">
          <cell r="A1554">
            <v>43482</v>
          </cell>
          <cell r="B1554">
            <v>2635.96</v>
          </cell>
        </row>
        <row r="1555">
          <cell r="A1555">
            <v>43481</v>
          </cell>
          <cell r="B1555">
            <v>2616.1</v>
          </cell>
        </row>
        <row r="1556">
          <cell r="A1556">
            <v>43480</v>
          </cell>
          <cell r="B1556">
            <v>2610.3000000000002</v>
          </cell>
        </row>
        <row r="1557">
          <cell r="A1557">
            <v>43479</v>
          </cell>
          <cell r="B1557">
            <v>2582.61</v>
          </cell>
        </row>
        <row r="1558">
          <cell r="A1558">
            <v>43476</v>
          </cell>
          <cell r="B1558">
            <v>2596.2600000000002</v>
          </cell>
        </row>
        <row r="1559">
          <cell r="A1559">
            <v>43475</v>
          </cell>
          <cell r="B1559">
            <v>2596.64</v>
          </cell>
        </row>
        <row r="1560">
          <cell r="A1560">
            <v>43474</v>
          </cell>
          <cell r="B1560">
            <v>2584.96</v>
          </cell>
        </row>
        <row r="1561">
          <cell r="A1561">
            <v>43473</v>
          </cell>
          <cell r="B1561">
            <v>2574.41</v>
          </cell>
        </row>
        <row r="1562">
          <cell r="A1562">
            <v>43472</v>
          </cell>
          <cell r="B1562">
            <v>2549.69</v>
          </cell>
        </row>
        <row r="1563">
          <cell r="A1563">
            <v>43469</v>
          </cell>
          <cell r="B1563">
            <v>2531.94</v>
          </cell>
        </row>
        <row r="1564">
          <cell r="A1564">
            <v>43468</v>
          </cell>
          <cell r="B1564">
            <v>2447.89</v>
          </cell>
        </row>
        <row r="1565">
          <cell r="A1565">
            <v>43467</v>
          </cell>
          <cell r="B1565">
            <v>2510.0300000000002</v>
          </cell>
        </row>
        <row r="1566">
          <cell r="A1566">
            <v>43465</v>
          </cell>
          <cell r="B1566">
            <v>2506.85</v>
          </cell>
        </row>
        <row r="1567">
          <cell r="A1567">
            <v>43462</v>
          </cell>
          <cell r="B1567">
            <v>2485.7399999999998</v>
          </cell>
        </row>
        <row r="1568">
          <cell r="A1568">
            <v>43461</v>
          </cell>
          <cell r="B1568">
            <v>2488.83</v>
          </cell>
        </row>
        <row r="1569">
          <cell r="A1569">
            <v>43460</v>
          </cell>
          <cell r="B1569">
            <v>2467.6999999999998</v>
          </cell>
        </row>
        <row r="1570">
          <cell r="A1570">
            <v>43458</v>
          </cell>
          <cell r="B1570">
            <v>2351.1</v>
          </cell>
        </row>
        <row r="1571">
          <cell r="A1571">
            <v>43455</v>
          </cell>
          <cell r="B1571">
            <v>2416.62</v>
          </cell>
        </row>
        <row r="1572">
          <cell r="A1572">
            <v>43454</v>
          </cell>
          <cell r="B1572">
            <v>2467.42</v>
          </cell>
        </row>
        <row r="1573">
          <cell r="A1573">
            <v>43453</v>
          </cell>
          <cell r="B1573">
            <v>2506.96</v>
          </cell>
        </row>
        <row r="1574">
          <cell r="A1574">
            <v>43452</v>
          </cell>
          <cell r="B1574">
            <v>2546.16</v>
          </cell>
        </row>
        <row r="1575">
          <cell r="A1575">
            <v>43451</v>
          </cell>
          <cell r="B1575">
            <v>2545.94</v>
          </cell>
        </row>
        <row r="1576">
          <cell r="A1576">
            <v>43448</v>
          </cell>
          <cell r="B1576">
            <v>2599.9499999999998</v>
          </cell>
        </row>
        <row r="1577">
          <cell r="A1577">
            <v>43447</v>
          </cell>
          <cell r="B1577">
            <v>2650.54</v>
          </cell>
        </row>
        <row r="1578">
          <cell r="A1578">
            <v>43446</v>
          </cell>
          <cell r="B1578">
            <v>2651.07</v>
          </cell>
        </row>
        <row r="1579">
          <cell r="A1579">
            <v>43445</v>
          </cell>
          <cell r="B1579">
            <v>2636.78</v>
          </cell>
        </row>
        <row r="1580">
          <cell r="A1580">
            <v>43444</v>
          </cell>
          <cell r="B1580">
            <v>2637.72</v>
          </cell>
        </row>
        <row r="1581">
          <cell r="A1581">
            <v>43441</v>
          </cell>
          <cell r="B1581">
            <v>2633.08</v>
          </cell>
        </row>
        <row r="1582">
          <cell r="A1582">
            <v>43440</v>
          </cell>
          <cell r="B1582">
            <v>2695.95</v>
          </cell>
        </row>
        <row r="1583">
          <cell r="A1583">
            <v>43438</v>
          </cell>
          <cell r="B1583">
            <v>2700.06</v>
          </cell>
        </row>
        <row r="1584">
          <cell r="A1584">
            <v>43437</v>
          </cell>
          <cell r="B1584">
            <v>2790.37</v>
          </cell>
        </row>
        <row r="1585">
          <cell r="A1585">
            <v>43434</v>
          </cell>
          <cell r="B1585">
            <v>2760.17</v>
          </cell>
        </row>
        <row r="1586">
          <cell r="A1586">
            <v>43433</v>
          </cell>
          <cell r="B1586">
            <v>2737.76</v>
          </cell>
        </row>
        <row r="1587">
          <cell r="A1587">
            <v>43432</v>
          </cell>
          <cell r="B1587">
            <v>2743.79</v>
          </cell>
        </row>
        <row r="1588">
          <cell r="A1588">
            <v>43431</v>
          </cell>
          <cell r="B1588">
            <v>2682.17</v>
          </cell>
        </row>
        <row r="1589">
          <cell r="A1589">
            <v>43430</v>
          </cell>
          <cell r="B1589">
            <v>2673.45</v>
          </cell>
        </row>
        <row r="1590">
          <cell r="A1590">
            <v>43427</v>
          </cell>
          <cell r="B1590">
            <v>2632.56</v>
          </cell>
        </row>
        <row r="1591">
          <cell r="A1591">
            <v>43425</v>
          </cell>
          <cell r="B1591">
            <v>2649.93</v>
          </cell>
        </row>
        <row r="1592">
          <cell r="A1592">
            <v>43424</v>
          </cell>
          <cell r="B1592">
            <v>2641.89</v>
          </cell>
        </row>
        <row r="1593">
          <cell r="A1593">
            <v>43423</v>
          </cell>
          <cell r="B1593">
            <v>2690.73</v>
          </cell>
        </row>
        <row r="1594">
          <cell r="A1594">
            <v>43420</v>
          </cell>
          <cell r="B1594">
            <v>2736.27</v>
          </cell>
        </row>
        <row r="1595">
          <cell r="A1595">
            <v>43419</v>
          </cell>
          <cell r="B1595">
            <v>2730.2</v>
          </cell>
        </row>
        <row r="1596">
          <cell r="A1596">
            <v>43418</v>
          </cell>
          <cell r="B1596">
            <v>2701.58</v>
          </cell>
        </row>
        <row r="1597">
          <cell r="A1597">
            <v>43417</v>
          </cell>
          <cell r="B1597">
            <v>2722.18</v>
          </cell>
        </row>
        <row r="1598">
          <cell r="A1598">
            <v>43416</v>
          </cell>
          <cell r="B1598">
            <v>2726.22</v>
          </cell>
        </row>
        <row r="1599">
          <cell r="A1599">
            <v>43413</v>
          </cell>
          <cell r="B1599">
            <v>2781.01</v>
          </cell>
        </row>
        <row r="1600">
          <cell r="A1600">
            <v>43412</v>
          </cell>
          <cell r="B1600">
            <v>2806.83</v>
          </cell>
        </row>
        <row r="1601">
          <cell r="A1601">
            <v>43411</v>
          </cell>
          <cell r="B1601">
            <v>2813.89</v>
          </cell>
        </row>
        <row r="1602">
          <cell r="A1602">
            <v>43410</v>
          </cell>
          <cell r="B1602">
            <v>2755.45</v>
          </cell>
        </row>
        <row r="1603">
          <cell r="A1603">
            <v>43409</v>
          </cell>
          <cell r="B1603">
            <v>2738.31</v>
          </cell>
        </row>
        <row r="1604">
          <cell r="A1604">
            <v>43406</v>
          </cell>
          <cell r="B1604">
            <v>2723.06</v>
          </cell>
        </row>
        <row r="1605">
          <cell r="A1605">
            <v>43405</v>
          </cell>
          <cell r="B1605">
            <v>2740.37</v>
          </cell>
        </row>
        <row r="1606">
          <cell r="A1606">
            <v>43404</v>
          </cell>
          <cell r="B1606">
            <v>2711.74</v>
          </cell>
        </row>
        <row r="1607">
          <cell r="A1607">
            <v>43403</v>
          </cell>
          <cell r="B1607">
            <v>2682.63</v>
          </cell>
        </row>
        <row r="1608">
          <cell r="A1608">
            <v>43402</v>
          </cell>
          <cell r="B1608">
            <v>2641.25</v>
          </cell>
        </row>
        <row r="1609">
          <cell r="A1609">
            <v>43399</v>
          </cell>
          <cell r="B1609">
            <v>2658.69</v>
          </cell>
        </row>
        <row r="1610">
          <cell r="A1610">
            <v>43398</v>
          </cell>
          <cell r="B1610">
            <v>2705.57</v>
          </cell>
        </row>
        <row r="1611">
          <cell r="A1611">
            <v>43397</v>
          </cell>
          <cell r="B1611">
            <v>2656.1</v>
          </cell>
        </row>
        <row r="1612">
          <cell r="A1612">
            <v>43396</v>
          </cell>
          <cell r="B1612">
            <v>2740.69</v>
          </cell>
        </row>
        <row r="1613">
          <cell r="A1613">
            <v>43395</v>
          </cell>
          <cell r="B1613">
            <v>2755.88</v>
          </cell>
        </row>
        <row r="1614">
          <cell r="A1614">
            <v>43392</v>
          </cell>
          <cell r="B1614">
            <v>2767.78</v>
          </cell>
        </row>
        <row r="1615">
          <cell r="A1615">
            <v>43391</v>
          </cell>
          <cell r="B1615">
            <v>2768.78</v>
          </cell>
        </row>
        <row r="1616">
          <cell r="A1616">
            <v>43390</v>
          </cell>
          <cell r="B1616">
            <v>2809.21</v>
          </cell>
        </row>
        <row r="1617">
          <cell r="A1617">
            <v>43389</v>
          </cell>
          <cell r="B1617">
            <v>2809.92</v>
          </cell>
        </row>
        <row r="1618">
          <cell r="A1618">
            <v>43388</v>
          </cell>
          <cell r="B1618">
            <v>2750.79</v>
          </cell>
        </row>
        <row r="1619">
          <cell r="A1619">
            <v>43385</v>
          </cell>
          <cell r="B1619">
            <v>2767.13</v>
          </cell>
        </row>
        <row r="1620">
          <cell r="A1620">
            <v>43384</v>
          </cell>
          <cell r="B1620">
            <v>2728.37</v>
          </cell>
        </row>
        <row r="1621">
          <cell r="A1621">
            <v>43383</v>
          </cell>
          <cell r="B1621">
            <v>2785.68</v>
          </cell>
        </row>
        <row r="1622">
          <cell r="A1622">
            <v>43382</v>
          </cell>
          <cell r="B1622">
            <v>2880.34</v>
          </cell>
        </row>
        <row r="1623">
          <cell r="A1623">
            <v>43381</v>
          </cell>
          <cell r="B1623">
            <v>2884.43</v>
          </cell>
        </row>
        <row r="1624">
          <cell r="A1624">
            <v>43378</v>
          </cell>
          <cell r="B1624">
            <v>2885.57</v>
          </cell>
        </row>
        <row r="1625">
          <cell r="A1625">
            <v>43377</v>
          </cell>
          <cell r="B1625">
            <v>2901.61</v>
          </cell>
        </row>
        <row r="1626">
          <cell r="A1626">
            <v>43376</v>
          </cell>
          <cell r="B1626">
            <v>2925.51</v>
          </cell>
        </row>
        <row r="1627">
          <cell r="A1627">
            <v>43375</v>
          </cell>
          <cell r="B1627">
            <v>2923.43</v>
          </cell>
        </row>
        <row r="1628">
          <cell r="A1628">
            <v>43374</v>
          </cell>
          <cell r="B1628">
            <v>2924.59</v>
          </cell>
        </row>
        <row r="1629">
          <cell r="A1629">
            <v>43371</v>
          </cell>
          <cell r="B1629">
            <v>2913.98</v>
          </cell>
        </row>
        <row r="1630">
          <cell r="A1630">
            <v>43370</v>
          </cell>
          <cell r="B1630">
            <v>2914</v>
          </cell>
        </row>
        <row r="1631">
          <cell r="A1631">
            <v>43369</v>
          </cell>
          <cell r="B1631">
            <v>2905.97</v>
          </cell>
        </row>
        <row r="1632">
          <cell r="A1632">
            <v>43368</v>
          </cell>
          <cell r="B1632">
            <v>2915.56</v>
          </cell>
        </row>
        <row r="1633">
          <cell r="A1633">
            <v>43367</v>
          </cell>
          <cell r="B1633">
            <v>2919.37</v>
          </cell>
        </row>
        <row r="1634">
          <cell r="A1634">
            <v>43364</v>
          </cell>
          <cell r="B1634">
            <v>2929.67</v>
          </cell>
        </row>
        <row r="1635">
          <cell r="A1635">
            <v>43363</v>
          </cell>
          <cell r="B1635">
            <v>2930.75</v>
          </cell>
        </row>
        <row r="1636">
          <cell r="A1636">
            <v>43362</v>
          </cell>
          <cell r="B1636">
            <v>2907.95</v>
          </cell>
        </row>
        <row r="1637">
          <cell r="A1637">
            <v>43361</v>
          </cell>
          <cell r="B1637">
            <v>2904.31</v>
          </cell>
        </row>
        <row r="1638">
          <cell r="A1638">
            <v>43360</v>
          </cell>
          <cell r="B1638">
            <v>2888.8</v>
          </cell>
        </row>
        <row r="1639">
          <cell r="A1639">
            <v>43357</v>
          </cell>
          <cell r="B1639">
            <v>2904.98</v>
          </cell>
        </row>
        <row r="1640">
          <cell r="A1640">
            <v>43356</v>
          </cell>
          <cell r="B1640">
            <v>2904.18</v>
          </cell>
        </row>
        <row r="1641">
          <cell r="A1641">
            <v>43355</v>
          </cell>
          <cell r="B1641">
            <v>2888.92</v>
          </cell>
        </row>
        <row r="1642">
          <cell r="A1642">
            <v>43354</v>
          </cell>
          <cell r="B1642">
            <v>2887.89</v>
          </cell>
        </row>
        <row r="1643">
          <cell r="A1643">
            <v>43353</v>
          </cell>
          <cell r="B1643">
            <v>2877.13</v>
          </cell>
        </row>
        <row r="1644">
          <cell r="A1644">
            <v>43350</v>
          </cell>
          <cell r="B1644">
            <v>2871.68</v>
          </cell>
        </row>
        <row r="1645">
          <cell r="A1645">
            <v>43349</v>
          </cell>
          <cell r="B1645">
            <v>2878.05</v>
          </cell>
        </row>
        <row r="1646">
          <cell r="A1646">
            <v>43348</v>
          </cell>
          <cell r="B1646">
            <v>2888.6</v>
          </cell>
        </row>
        <row r="1647">
          <cell r="A1647">
            <v>43347</v>
          </cell>
          <cell r="B1647">
            <v>2896.72</v>
          </cell>
        </row>
        <row r="1648">
          <cell r="A1648">
            <v>43343</v>
          </cell>
          <cell r="B1648">
            <v>2901.52</v>
          </cell>
        </row>
        <row r="1649">
          <cell r="A1649">
            <v>43342</v>
          </cell>
          <cell r="B1649">
            <v>2901.13</v>
          </cell>
        </row>
        <row r="1650">
          <cell r="A1650">
            <v>43341</v>
          </cell>
          <cell r="B1650">
            <v>2914.04</v>
          </cell>
        </row>
        <row r="1651">
          <cell r="A1651">
            <v>43340</v>
          </cell>
          <cell r="B1651">
            <v>2897.52</v>
          </cell>
        </row>
        <row r="1652">
          <cell r="A1652">
            <v>43339</v>
          </cell>
          <cell r="B1652">
            <v>2896.74</v>
          </cell>
        </row>
        <row r="1653">
          <cell r="A1653">
            <v>43336</v>
          </cell>
          <cell r="B1653">
            <v>2874.69</v>
          </cell>
        </row>
        <row r="1654">
          <cell r="A1654">
            <v>43335</v>
          </cell>
          <cell r="B1654">
            <v>2856.98</v>
          </cell>
        </row>
        <row r="1655">
          <cell r="A1655">
            <v>43334</v>
          </cell>
          <cell r="B1655">
            <v>2861.82</v>
          </cell>
        </row>
        <row r="1656">
          <cell r="A1656">
            <v>43333</v>
          </cell>
          <cell r="B1656">
            <v>2862.96</v>
          </cell>
        </row>
        <row r="1657">
          <cell r="A1657">
            <v>43332</v>
          </cell>
          <cell r="B1657">
            <v>2857.05</v>
          </cell>
        </row>
        <row r="1658">
          <cell r="A1658">
            <v>43329</v>
          </cell>
          <cell r="B1658">
            <v>2850.13</v>
          </cell>
        </row>
        <row r="1659">
          <cell r="A1659">
            <v>43328</v>
          </cell>
          <cell r="B1659">
            <v>2840.69</v>
          </cell>
        </row>
        <row r="1660">
          <cell r="A1660">
            <v>43327</v>
          </cell>
          <cell r="B1660">
            <v>2818.37</v>
          </cell>
        </row>
        <row r="1661">
          <cell r="A1661">
            <v>43326</v>
          </cell>
          <cell r="B1661">
            <v>2839.96</v>
          </cell>
        </row>
        <row r="1662">
          <cell r="A1662">
            <v>43325</v>
          </cell>
          <cell r="B1662">
            <v>2821.93</v>
          </cell>
        </row>
        <row r="1663">
          <cell r="A1663">
            <v>43322</v>
          </cell>
          <cell r="B1663">
            <v>2833.28</v>
          </cell>
        </row>
        <row r="1664">
          <cell r="A1664">
            <v>43321</v>
          </cell>
          <cell r="B1664">
            <v>2853.58</v>
          </cell>
        </row>
        <row r="1665">
          <cell r="A1665">
            <v>43320</v>
          </cell>
          <cell r="B1665">
            <v>2857.7</v>
          </cell>
        </row>
        <row r="1666">
          <cell r="A1666">
            <v>43319</v>
          </cell>
          <cell r="B1666">
            <v>2858.45</v>
          </cell>
        </row>
        <row r="1667">
          <cell r="A1667">
            <v>43318</v>
          </cell>
          <cell r="B1667">
            <v>2850.4</v>
          </cell>
        </row>
        <row r="1668">
          <cell r="A1668">
            <v>43315</v>
          </cell>
          <cell r="B1668">
            <v>2840.35</v>
          </cell>
        </row>
        <row r="1669">
          <cell r="A1669">
            <v>43314</v>
          </cell>
          <cell r="B1669">
            <v>2827.22</v>
          </cell>
        </row>
        <row r="1670">
          <cell r="A1670">
            <v>43313</v>
          </cell>
          <cell r="B1670">
            <v>2813.36</v>
          </cell>
        </row>
        <row r="1671">
          <cell r="A1671">
            <v>43312</v>
          </cell>
          <cell r="B1671">
            <v>2816.29</v>
          </cell>
        </row>
        <row r="1672">
          <cell r="A1672">
            <v>43311</v>
          </cell>
          <cell r="B1672">
            <v>2802.6</v>
          </cell>
        </row>
        <row r="1673">
          <cell r="A1673">
            <v>43308</v>
          </cell>
          <cell r="B1673">
            <v>2818.82</v>
          </cell>
        </row>
        <row r="1674">
          <cell r="A1674">
            <v>43307</v>
          </cell>
          <cell r="B1674">
            <v>2837.44</v>
          </cell>
        </row>
        <row r="1675">
          <cell r="A1675">
            <v>43306</v>
          </cell>
          <cell r="B1675">
            <v>2846.07</v>
          </cell>
        </row>
        <row r="1676">
          <cell r="A1676">
            <v>43305</v>
          </cell>
          <cell r="B1676">
            <v>2820.4</v>
          </cell>
        </row>
        <row r="1677">
          <cell r="A1677">
            <v>43304</v>
          </cell>
          <cell r="B1677">
            <v>2806.98</v>
          </cell>
        </row>
        <row r="1678">
          <cell r="A1678">
            <v>43301</v>
          </cell>
          <cell r="B1678">
            <v>2801.83</v>
          </cell>
        </row>
        <row r="1679">
          <cell r="A1679">
            <v>43300</v>
          </cell>
          <cell r="B1679">
            <v>2804.49</v>
          </cell>
        </row>
        <row r="1680">
          <cell r="A1680">
            <v>43299</v>
          </cell>
          <cell r="B1680">
            <v>2815.62</v>
          </cell>
        </row>
        <row r="1681">
          <cell r="A1681">
            <v>43298</v>
          </cell>
          <cell r="B1681">
            <v>2809.55</v>
          </cell>
        </row>
        <row r="1682">
          <cell r="A1682">
            <v>43297</v>
          </cell>
          <cell r="B1682">
            <v>2798.43</v>
          </cell>
        </row>
        <row r="1683">
          <cell r="A1683">
            <v>43294</v>
          </cell>
          <cell r="B1683">
            <v>2801.31</v>
          </cell>
        </row>
        <row r="1684">
          <cell r="A1684">
            <v>43293</v>
          </cell>
          <cell r="B1684">
            <v>2798.29</v>
          </cell>
        </row>
        <row r="1685">
          <cell r="A1685">
            <v>43292</v>
          </cell>
          <cell r="B1685">
            <v>2774.02</v>
          </cell>
        </row>
        <row r="1686">
          <cell r="A1686">
            <v>43291</v>
          </cell>
          <cell r="B1686">
            <v>2793.84</v>
          </cell>
        </row>
        <row r="1687">
          <cell r="A1687">
            <v>43290</v>
          </cell>
          <cell r="B1687">
            <v>2784.17</v>
          </cell>
        </row>
        <row r="1688">
          <cell r="A1688">
            <v>43287</v>
          </cell>
          <cell r="B1688">
            <v>2759.82</v>
          </cell>
        </row>
        <row r="1689">
          <cell r="A1689">
            <v>43286</v>
          </cell>
          <cell r="B1689">
            <v>2736.61</v>
          </cell>
        </row>
        <row r="1690">
          <cell r="A1690">
            <v>43284</v>
          </cell>
          <cell r="B1690">
            <v>2713.22</v>
          </cell>
        </row>
        <row r="1691">
          <cell r="A1691">
            <v>43283</v>
          </cell>
          <cell r="B1691">
            <v>2726.71</v>
          </cell>
        </row>
        <row r="1692">
          <cell r="A1692">
            <v>43280</v>
          </cell>
          <cell r="B1692">
            <v>2718.37</v>
          </cell>
        </row>
        <row r="1693">
          <cell r="A1693">
            <v>43279</v>
          </cell>
          <cell r="B1693">
            <v>2716.31</v>
          </cell>
        </row>
        <row r="1694">
          <cell r="A1694">
            <v>43278</v>
          </cell>
          <cell r="B1694">
            <v>2699.63</v>
          </cell>
        </row>
        <row r="1695">
          <cell r="A1695">
            <v>43277</v>
          </cell>
          <cell r="B1695">
            <v>2723.06</v>
          </cell>
        </row>
        <row r="1696">
          <cell r="A1696">
            <v>43276</v>
          </cell>
          <cell r="B1696">
            <v>2717.07</v>
          </cell>
        </row>
        <row r="1697">
          <cell r="A1697">
            <v>43273</v>
          </cell>
          <cell r="B1697">
            <v>2754.88</v>
          </cell>
        </row>
        <row r="1698">
          <cell r="A1698">
            <v>43272</v>
          </cell>
          <cell r="B1698">
            <v>2749.76</v>
          </cell>
        </row>
        <row r="1699">
          <cell r="A1699">
            <v>43271</v>
          </cell>
          <cell r="B1699">
            <v>2767.32</v>
          </cell>
        </row>
        <row r="1700">
          <cell r="A1700">
            <v>43270</v>
          </cell>
          <cell r="B1700">
            <v>2762.59</v>
          </cell>
        </row>
        <row r="1701">
          <cell r="A1701">
            <v>43269</v>
          </cell>
          <cell r="B1701">
            <v>2773.75</v>
          </cell>
        </row>
        <row r="1702">
          <cell r="A1702">
            <v>43266</v>
          </cell>
          <cell r="B1702">
            <v>2779.66</v>
          </cell>
        </row>
        <row r="1703">
          <cell r="A1703">
            <v>43265</v>
          </cell>
          <cell r="B1703">
            <v>2782.49</v>
          </cell>
        </row>
        <row r="1704">
          <cell r="A1704">
            <v>43264</v>
          </cell>
          <cell r="B1704">
            <v>2775.63</v>
          </cell>
        </row>
        <row r="1705">
          <cell r="A1705">
            <v>43263</v>
          </cell>
          <cell r="B1705">
            <v>2786.85</v>
          </cell>
        </row>
        <row r="1706">
          <cell r="A1706">
            <v>43262</v>
          </cell>
          <cell r="B1706">
            <v>2782</v>
          </cell>
        </row>
        <row r="1707">
          <cell r="A1707">
            <v>43259</v>
          </cell>
          <cell r="B1707">
            <v>2779.03</v>
          </cell>
        </row>
        <row r="1708">
          <cell r="A1708">
            <v>43258</v>
          </cell>
          <cell r="B1708">
            <v>2770.37</v>
          </cell>
        </row>
        <row r="1709">
          <cell r="A1709">
            <v>43257</v>
          </cell>
          <cell r="B1709">
            <v>2772.35</v>
          </cell>
        </row>
        <row r="1710">
          <cell r="A1710">
            <v>43256</v>
          </cell>
          <cell r="B1710">
            <v>2748.8</v>
          </cell>
        </row>
        <row r="1711">
          <cell r="A1711">
            <v>43255</v>
          </cell>
          <cell r="B1711">
            <v>2746.87</v>
          </cell>
        </row>
        <row r="1712">
          <cell r="A1712">
            <v>43252</v>
          </cell>
          <cell r="B1712">
            <v>2734.62</v>
          </cell>
        </row>
        <row r="1713">
          <cell r="A1713">
            <v>43251</v>
          </cell>
          <cell r="B1713">
            <v>2705.27</v>
          </cell>
        </row>
        <row r="1714">
          <cell r="A1714">
            <v>43250</v>
          </cell>
          <cell r="B1714">
            <v>2724.01</v>
          </cell>
        </row>
        <row r="1715">
          <cell r="A1715">
            <v>43249</v>
          </cell>
          <cell r="B1715">
            <v>2689.86</v>
          </cell>
        </row>
        <row r="1716">
          <cell r="A1716">
            <v>43245</v>
          </cell>
          <cell r="B1716">
            <v>2721.33</v>
          </cell>
        </row>
        <row r="1717">
          <cell r="A1717">
            <v>43244</v>
          </cell>
          <cell r="B1717">
            <v>2727.76</v>
          </cell>
        </row>
        <row r="1718">
          <cell r="A1718">
            <v>43243</v>
          </cell>
          <cell r="B1718">
            <v>2733.29</v>
          </cell>
        </row>
        <row r="1719">
          <cell r="A1719">
            <v>43242</v>
          </cell>
          <cell r="B1719">
            <v>2724.44</v>
          </cell>
        </row>
        <row r="1720">
          <cell r="A1720">
            <v>43241</v>
          </cell>
          <cell r="B1720">
            <v>2733.01</v>
          </cell>
        </row>
        <row r="1721">
          <cell r="A1721">
            <v>43238</v>
          </cell>
          <cell r="B1721">
            <v>2712.97</v>
          </cell>
        </row>
        <row r="1722">
          <cell r="A1722">
            <v>43237</v>
          </cell>
          <cell r="B1722">
            <v>2720.13</v>
          </cell>
        </row>
        <row r="1723">
          <cell r="A1723">
            <v>43236</v>
          </cell>
          <cell r="B1723">
            <v>2722.46</v>
          </cell>
        </row>
        <row r="1724">
          <cell r="A1724">
            <v>43235</v>
          </cell>
          <cell r="B1724">
            <v>2711.45</v>
          </cell>
        </row>
        <row r="1725">
          <cell r="A1725">
            <v>43234</v>
          </cell>
          <cell r="B1725">
            <v>2730.13</v>
          </cell>
        </row>
        <row r="1726">
          <cell r="A1726">
            <v>43231</v>
          </cell>
          <cell r="B1726">
            <v>2727.72</v>
          </cell>
        </row>
        <row r="1727">
          <cell r="A1727">
            <v>43230</v>
          </cell>
          <cell r="B1727">
            <v>2723.07</v>
          </cell>
        </row>
        <row r="1728">
          <cell r="A1728">
            <v>43229</v>
          </cell>
          <cell r="B1728">
            <v>2697.79</v>
          </cell>
        </row>
        <row r="1729">
          <cell r="A1729">
            <v>43228</v>
          </cell>
          <cell r="B1729">
            <v>2671.92</v>
          </cell>
        </row>
        <row r="1730">
          <cell r="A1730">
            <v>43227</v>
          </cell>
          <cell r="B1730">
            <v>2672.63</v>
          </cell>
        </row>
        <row r="1731">
          <cell r="A1731">
            <v>43224</v>
          </cell>
          <cell r="B1731">
            <v>2663.42</v>
          </cell>
        </row>
        <row r="1732">
          <cell r="A1732">
            <v>43223</v>
          </cell>
          <cell r="B1732">
            <v>2629.73</v>
          </cell>
        </row>
        <row r="1733">
          <cell r="A1733">
            <v>43222</v>
          </cell>
          <cell r="B1733">
            <v>2635.67</v>
          </cell>
        </row>
        <row r="1734">
          <cell r="A1734">
            <v>43221</v>
          </cell>
          <cell r="B1734">
            <v>2654.8</v>
          </cell>
        </row>
        <row r="1735">
          <cell r="A1735">
            <v>43220</v>
          </cell>
          <cell r="B1735">
            <v>2648.05</v>
          </cell>
        </row>
        <row r="1736">
          <cell r="A1736">
            <v>43217</v>
          </cell>
          <cell r="B1736">
            <v>2669.91</v>
          </cell>
        </row>
        <row r="1737">
          <cell r="A1737">
            <v>43216</v>
          </cell>
          <cell r="B1737">
            <v>2666.94</v>
          </cell>
        </row>
        <row r="1738">
          <cell r="A1738">
            <v>43215</v>
          </cell>
          <cell r="B1738">
            <v>2639.4</v>
          </cell>
        </row>
        <row r="1739">
          <cell r="A1739">
            <v>43214</v>
          </cell>
          <cell r="B1739">
            <v>2634.56</v>
          </cell>
        </row>
        <row r="1740">
          <cell r="A1740">
            <v>43213</v>
          </cell>
          <cell r="B1740">
            <v>2670.29</v>
          </cell>
        </row>
        <row r="1741">
          <cell r="A1741">
            <v>43210</v>
          </cell>
          <cell r="B1741">
            <v>2670.14</v>
          </cell>
        </row>
        <row r="1742">
          <cell r="A1742">
            <v>43209</v>
          </cell>
          <cell r="B1742">
            <v>2693.13</v>
          </cell>
        </row>
        <row r="1743">
          <cell r="A1743">
            <v>43208</v>
          </cell>
          <cell r="B1743">
            <v>2708.64</v>
          </cell>
        </row>
        <row r="1744">
          <cell r="A1744">
            <v>43207</v>
          </cell>
          <cell r="B1744">
            <v>2706.39</v>
          </cell>
        </row>
        <row r="1745">
          <cell r="A1745">
            <v>43206</v>
          </cell>
          <cell r="B1745">
            <v>2677.84</v>
          </cell>
        </row>
        <row r="1746">
          <cell r="A1746">
            <v>43203</v>
          </cell>
          <cell r="B1746">
            <v>2656.3</v>
          </cell>
        </row>
        <row r="1747">
          <cell r="A1747">
            <v>43202</v>
          </cell>
          <cell r="B1747">
            <v>2663.99</v>
          </cell>
        </row>
        <row r="1748">
          <cell r="A1748">
            <v>43201</v>
          </cell>
          <cell r="B1748">
            <v>2642.19</v>
          </cell>
        </row>
        <row r="1749">
          <cell r="A1749">
            <v>43200</v>
          </cell>
          <cell r="B1749">
            <v>2656.87</v>
          </cell>
        </row>
        <row r="1750">
          <cell r="A1750">
            <v>43199</v>
          </cell>
          <cell r="B1750">
            <v>2613.16</v>
          </cell>
        </row>
        <row r="1751">
          <cell r="A1751">
            <v>43196</v>
          </cell>
          <cell r="B1751">
            <v>2604.4699999999998</v>
          </cell>
        </row>
        <row r="1752">
          <cell r="A1752">
            <v>43195</v>
          </cell>
          <cell r="B1752">
            <v>2662.84</v>
          </cell>
        </row>
        <row r="1753">
          <cell r="A1753">
            <v>43194</v>
          </cell>
          <cell r="B1753">
            <v>2644.69</v>
          </cell>
        </row>
        <row r="1754">
          <cell r="A1754">
            <v>43193</v>
          </cell>
          <cell r="B1754">
            <v>2614.4499999999998</v>
          </cell>
        </row>
        <row r="1755">
          <cell r="A1755">
            <v>43192</v>
          </cell>
          <cell r="B1755">
            <v>2581.88</v>
          </cell>
        </row>
        <row r="1756">
          <cell r="A1756">
            <v>43188</v>
          </cell>
          <cell r="B1756">
            <v>2640.87</v>
          </cell>
        </row>
        <row r="1757">
          <cell r="A1757">
            <v>43187</v>
          </cell>
          <cell r="B1757">
            <v>2605</v>
          </cell>
        </row>
        <row r="1758">
          <cell r="A1758">
            <v>43186</v>
          </cell>
          <cell r="B1758">
            <v>2612.62</v>
          </cell>
        </row>
        <row r="1759">
          <cell r="A1759">
            <v>43185</v>
          </cell>
          <cell r="B1759">
            <v>2658.55</v>
          </cell>
        </row>
        <row r="1760">
          <cell r="A1760">
            <v>43182</v>
          </cell>
          <cell r="B1760">
            <v>2588.2600000000002</v>
          </cell>
        </row>
        <row r="1761">
          <cell r="A1761">
            <v>43181</v>
          </cell>
          <cell r="B1761">
            <v>2643.69</v>
          </cell>
        </row>
        <row r="1762">
          <cell r="A1762">
            <v>43180</v>
          </cell>
          <cell r="B1762">
            <v>2711.93</v>
          </cell>
        </row>
        <row r="1763">
          <cell r="A1763">
            <v>43179</v>
          </cell>
          <cell r="B1763">
            <v>2716.94</v>
          </cell>
        </row>
        <row r="1764">
          <cell r="A1764">
            <v>43178</v>
          </cell>
          <cell r="B1764">
            <v>2712.92</v>
          </cell>
        </row>
        <row r="1765">
          <cell r="A1765">
            <v>43175</v>
          </cell>
          <cell r="B1765">
            <v>2752.01</v>
          </cell>
        </row>
        <row r="1766">
          <cell r="A1766">
            <v>43174</v>
          </cell>
          <cell r="B1766">
            <v>2747.33</v>
          </cell>
        </row>
        <row r="1767">
          <cell r="A1767">
            <v>43173</v>
          </cell>
          <cell r="B1767">
            <v>2749.48</v>
          </cell>
        </row>
        <row r="1768">
          <cell r="A1768">
            <v>43172</v>
          </cell>
          <cell r="B1768">
            <v>2765.31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5474-2340-8B4A-81D4-683911776D02}">
  <sheetPr codeName="Sheet3"/>
  <dimension ref="A2:P8"/>
  <sheetViews>
    <sheetView workbookViewId="0">
      <selection activeCell="A2" sqref="A2:P8"/>
    </sheetView>
  </sheetViews>
  <sheetFormatPr defaultColWidth="9.58203125" defaultRowHeight="15.5"/>
  <sheetData>
    <row r="2" spans="1:16" ht="34" customHeight="1">
      <c r="A2" s="38" t="s">
        <v>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1:16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1:16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</row>
    <row r="7" spans="1:16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</row>
    <row r="8" spans="1:16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</row>
  </sheetData>
  <mergeCells count="1">
    <mergeCell ref="A2:P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B80D-291E-1444-BE17-38BDD739AE1C}">
  <sheetPr codeName="Sheet2"/>
  <dimension ref="A1:L1762"/>
  <sheetViews>
    <sheetView tabSelected="1" zoomScale="81" zoomScaleNormal="55" workbookViewId="0">
      <selection activeCell="J4" sqref="J4"/>
    </sheetView>
  </sheetViews>
  <sheetFormatPr defaultColWidth="10.83203125" defaultRowHeight="23.5"/>
  <cols>
    <col min="1" max="1" width="13.83203125" customWidth="1"/>
    <col min="2" max="2" width="12.83203125" customWidth="1"/>
    <col min="4" max="4" width="27.5" style="1" customWidth="1"/>
    <col min="5" max="5" width="20.25" customWidth="1"/>
    <col min="6" max="6" width="12.1640625" style="1" customWidth="1"/>
    <col min="7" max="8" width="10.83203125" style="1"/>
    <col min="9" max="9" width="39" style="1" customWidth="1"/>
    <col min="10" max="10" width="14.9140625" style="1" customWidth="1"/>
    <col min="11" max="11" width="41.1640625" style="1" bestFit="1" customWidth="1"/>
    <col min="12" max="16384" width="10.83203125" style="1"/>
  </cols>
  <sheetData>
    <row r="1" spans="1:12" ht="49" customHeight="1">
      <c r="A1" s="10" t="s">
        <v>0</v>
      </c>
      <c r="B1" s="9" t="s">
        <v>6</v>
      </c>
      <c r="C1" t="s">
        <v>12</v>
      </c>
      <c r="D1" s="9"/>
      <c r="E1" s="9" t="s">
        <v>5</v>
      </c>
    </row>
    <row r="2" spans="1:12">
      <c r="A2" s="14">
        <v>43172</v>
      </c>
      <c r="B2" s="11">
        <f>VLOOKUP(A2,[1]HD_price_daily!$A$8:$B$1768,2,0)</f>
        <v>178.35</v>
      </c>
      <c r="E2" s="8">
        <f>VLOOKUP(A2,'[1]S&amp;P500_DAILY'!$A$8:$B$1768,2,0)</f>
        <v>2765.31</v>
      </c>
    </row>
    <row r="3" spans="1:12">
      <c r="A3" s="14">
        <v>43173</v>
      </c>
      <c r="B3" s="11">
        <f>VLOOKUP(A3,[1]HD_price_daily!$A$8:$B$1768,2,0)</f>
        <v>177.41</v>
      </c>
      <c r="C3">
        <f>B3/B2-1</f>
        <v>-5.2705354639752677E-3</v>
      </c>
      <c r="D3" s="1" t="str">
        <f ca="1">_xlfn.FORMULATEXT(C3)</f>
        <v>=B3/B2-1</v>
      </c>
      <c r="E3" s="8">
        <f>VLOOKUP(A3,'[1]S&amp;P500_DAILY'!$A$8:$B$1768,2,0)</f>
        <v>2749.48</v>
      </c>
      <c r="F3" s="1">
        <f>E3/E2-1</f>
        <v>-5.7244938180529559E-3</v>
      </c>
      <c r="G3" s="1" t="str">
        <f ca="1">_xlfn.FORMULATEXT(F3)</f>
        <v>=E3/E2-1</v>
      </c>
    </row>
    <row r="4" spans="1:12">
      <c r="A4" s="14">
        <v>43174</v>
      </c>
      <c r="B4" s="11">
        <f>VLOOKUP(A4,[1]HD_price_daily!$A$8:$B$1768,2,0)</f>
        <v>178.07</v>
      </c>
      <c r="C4">
        <f t="shared" ref="C4:C67" si="0">B4/B3-1</f>
        <v>3.7201961557973284E-3</v>
      </c>
      <c r="D4" s="1" t="str">
        <f t="shared" ref="D4:D67" ca="1" si="1">_xlfn.FORMULATEXT(C4)</f>
        <v>=B4/B3-1</v>
      </c>
      <c r="E4" s="8">
        <f>VLOOKUP(A4,'[1]S&amp;P500_DAILY'!$A$8:$B$1768,2,0)</f>
        <v>2747.33</v>
      </c>
      <c r="F4" s="1">
        <f t="shared" ref="F4:F67" si="2">E4/E3-1</f>
        <v>-7.8196604448843576E-4</v>
      </c>
      <c r="G4" s="1" t="str">
        <f t="shared" ref="G4:G67" ca="1" si="3">_xlfn.FORMULATEXT(F4)</f>
        <v>=E4/E3-1</v>
      </c>
    </row>
    <row r="5" spans="1:12">
      <c r="A5" s="14">
        <v>43175</v>
      </c>
      <c r="B5" s="11">
        <f>VLOOKUP(A5,[1]HD_price_daily!$A$8:$B$1768,2,0)</f>
        <v>178.96</v>
      </c>
      <c r="C5">
        <f t="shared" si="0"/>
        <v>4.9980344808222554E-3</v>
      </c>
      <c r="D5" s="1" t="str">
        <f t="shared" ca="1" si="1"/>
        <v>=B5/B4-1</v>
      </c>
      <c r="E5" s="8">
        <f>VLOOKUP(A5,'[1]S&amp;P500_DAILY'!$A$8:$B$1768,2,0)</f>
        <v>2752.01</v>
      </c>
      <c r="F5" s="1">
        <f t="shared" si="2"/>
        <v>1.7034720983646334E-3</v>
      </c>
      <c r="G5" s="1" t="str">
        <f t="shared" ca="1" si="3"/>
        <v>=E5/E4-1</v>
      </c>
    </row>
    <row r="6" spans="1:12">
      <c r="A6" s="14">
        <v>43178</v>
      </c>
      <c r="B6" s="11">
        <f>VLOOKUP(A6,[1]HD_price_daily!$A$8:$B$1768,2,0)</f>
        <v>177.1</v>
      </c>
      <c r="C6">
        <f t="shared" si="0"/>
        <v>-1.0393383996423866E-2</v>
      </c>
      <c r="D6" s="1" t="str">
        <f t="shared" ca="1" si="1"/>
        <v>=B6/B5-1</v>
      </c>
      <c r="E6" s="8">
        <f>VLOOKUP(A6,'[1]S&amp;P500_DAILY'!$A$8:$B$1768,2,0)</f>
        <v>2712.92</v>
      </c>
      <c r="F6" s="1">
        <f t="shared" si="2"/>
        <v>-1.4204163502312905E-2</v>
      </c>
      <c r="G6" s="1" t="str">
        <f t="shared" ca="1" si="3"/>
        <v>=E6/E5-1</v>
      </c>
      <c r="I6" s="18" t="s">
        <v>13</v>
      </c>
      <c r="J6" s="29">
        <v>4.3700000000000003E-2</v>
      </c>
      <c r="K6" s="19"/>
    </row>
    <row r="7" spans="1:12">
      <c r="A7" s="14">
        <v>43179</v>
      </c>
      <c r="B7" s="11">
        <f>VLOOKUP(A7,[1]HD_price_daily!$A$8:$B$1768,2,0)</f>
        <v>178.16</v>
      </c>
      <c r="C7">
        <f t="shared" si="0"/>
        <v>5.9853190287972868E-3</v>
      </c>
      <c r="D7" s="1" t="str">
        <f t="shared" ca="1" si="1"/>
        <v>=B7/B6-1</v>
      </c>
      <c r="E7" s="8">
        <f>VLOOKUP(A7,'[1]S&amp;P500_DAILY'!$A$8:$B$1768,2,0)</f>
        <v>2716.94</v>
      </c>
      <c r="F7" s="1">
        <f t="shared" si="2"/>
        <v>1.4817982100467919E-3</v>
      </c>
      <c r="G7" s="1" t="str">
        <f t="shared" ca="1" si="3"/>
        <v>=E7/E6-1</v>
      </c>
      <c r="I7" s="18" t="s">
        <v>14</v>
      </c>
      <c r="J7" s="20">
        <f>SLOPE(C3:C1762,F3:F1762)</f>
        <v>0.98120688009870305</v>
      </c>
      <c r="K7" s="19" t="str">
        <f ca="1">_xlfn.FORMULATEXT(J7)</f>
        <v>=SLOPE(C3:C1762,F3:F1762)</v>
      </c>
      <c r="L7" s="1">
        <f>_xlfn.COVARIANCE.P($C$3:$C$1762,$F$3:$F$1762)/_xlfn.VAR.P($F$3:$F$1762)</f>
        <v>0.98120688009870483</v>
      </c>
    </row>
    <row r="8" spans="1:12">
      <c r="A8" s="14">
        <v>43180</v>
      </c>
      <c r="B8" s="11">
        <f>VLOOKUP(A8,[1]HD_price_daily!$A$8:$B$1768,2,0)</f>
        <v>178.02</v>
      </c>
      <c r="C8">
        <f t="shared" si="0"/>
        <v>-7.858105074090016E-4</v>
      </c>
      <c r="D8" s="1" t="str">
        <f t="shared" ca="1" si="1"/>
        <v>=B8/B7-1</v>
      </c>
      <c r="E8" s="8">
        <f>VLOOKUP(A8,'[1]S&amp;P500_DAILY'!$A$8:$B$1768,2,0)</f>
        <v>2711.93</v>
      </c>
      <c r="F8" s="1">
        <f t="shared" si="2"/>
        <v>-1.8439862492363179E-3</v>
      </c>
      <c r="G8" s="1" t="str">
        <f t="shared" ca="1" si="3"/>
        <v>=E8/E7-1</v>
      </c>
      <c r="I8" s="18" t="s">
        <v>15</v>
      </c>
      <c r="J8" s="28">
        <f>(1+AVERAGE(F3:F1762))^252-1</f>
        <v>0.12568607117484087</v>
      </c>
      <c r="K8" s="19" t="str">
        <f ca="1">_xlfn.FORMULATEXT(J8)</f>
        <v>=(1+AVERAGE(F3:F1762))^252-1</v>
      </c>
    </row>
    <row r="9" spans="1:12">
      <c r="A9" s="14">
        <v>43181</v>
      </c>
      <c r="B9" s="11">
        <f>VLOOKUP(A9,[1]HD_price_daily!$A$8:$B$1768,2,0)</f>
        <v>175.29</v>
      </c>
      <c r="C9">
        <f t="shared" si="0"/>
        <v>-1.5335355578025012E-2</v>
      </c>
      <c r="D9" s="1" t="str">
        <f t="shared" ca="1" si="1"/>
        <v>=B9/B8-1</v>
      </c>
      <c r="E9" s="8">
        <f>VLOOKUP(A9,'[1]S&amp;P500_DAILY'!$A$8:$B$1768,2,0)</f>
        <v>2643.69</v>
      </c>
      <c r="F9" s="1">
        <f t="shared" si="2"/>
        <v>-2.5162891372564888E-2</v>
      </c>
      <c r="G9" s="1" t="str">
        <f t="shared" ca="1" si="3"/>
        <v>=E9/E8-1</v>
      </c>
      <c r="I9" s="18" t="s">
        <v>16</v>
      </c>
      <c r="J9" s="28">
        <f>J6+J7*(J8-J6)</f>
        <v>0.12414529710901583</v>
      </c>
      <c r="K9" s="19" t="str">
        <f ca="1">_xlfn.FORMULATEXT(J9)</f>
        <v>=J6+J7*(J8-J6)</v>
      </c>
    </row>
    <row r="10" spans="1:12">
      <c r="A10" s="14">
        <v>43182</v>
      </c>
      <c r="B10" s="11">
        <f>VLOOKUP(A10,[1]HD_price_daily!$A$8:$B$1768,2,0)</f>
        <v>171.8</v>
      </c>
      <c r="C10">
        <f t="shared" si="0"/>
        <v>-1.9909863654515303E-2</v>
      </c>
      <c r="D10" s="1" t="str">
        <f t="shared" ca="1" si="1"/>
        <v>=B10/B9-1</v>
      </c>
      <c r="E10" s="8">
        <f>VLOOKUP(A10,'[1]S&amp;P500_DAILY'!$A$8:$B$1768,2,0)</f>
        <v>2588.2600000000002</v>
      </c>
      <c r="F10" s="1">
        <f t="shared" si="2"/>
        <v>-2.0966906104724736E-2</v>
      </c>
      <c r="G10" s="1" t="str">
        <f t="shared" ca="1" si="3"/>
        <v>=E10/E9-1</v>
      </c>
    </row>
    <row r="11" spans="1:12">
      <c r="A11" s="14">
        <v>43185</v>
      </c>
      <c r="B11" s="11">
        <f>VLOOKUP(A11,[1]HD_price_daily!$A$8:$B$1768,2,0)</f>
        <v>176.38</v>
      </c>
      <c r="C11">
        <f t="shared" si="0"/>
        <v>2.6658905704307179E-2</v>
      </c>
      <c r="D11" s="1" t="str">
        <f t="shared" ca="1" si="1"/>
        <v>=B11/B10-1</v>
      </c>
      <c r="E11" s="8">
        <f>VLOOKUP(A11,'[1]S&amp;P500_DAILY'!$A$8:$B$1768,2,0)</f>
        <v>2658.55</v>
      </c>
      <c r="F11" s="1">
        <f t="shared" si="2"/>
        <v>2.7157240771792601E-2</v>
      </c>
      <c r="G11" s="1" t="str">
        <f t="shared" ca="1" si="3"/>
        <v>=E11/E10-1</v>
      </c>
      <c r="I11" s="1" t="s">
        <v>31</v>
      </c>
    </row>
    <row r="12" spans="1:12">
      <c r="A12" s="14">
        <v>43186</v>
      </c>
      <c r="B12" s="11">
        <f>VLOOKUP(A12,[1]HD_price_daily!$A$8:$B$1768,2,0)</f>
        <v>174.68</v>
      </c>
      <c r="C12">
        <f t="shared" si="0"/>
        <v>-9.6382809842384676E-3</v>
      </c>
      <c r="D12" s="1" t="str">
        <f t="shared" ca="1" si="1"/>
        <v>=B12/B11-1</v>
      </c>
      <c r="E12" s="8">
        <f>VLOOKUP(A12,'[1]S&amp;P500_DAILY'!$A$8:$B$1768,2,0)</f>
        <v>2612.62</v>
      </c>
      <c r="F12" s="1">
        <f t="shared" si="2"/>
        <v>-1.7276334844182117E-2</v>
      </c>
      <c r="G12" s="1" t="str">
        <f t="shared" ca="1" si="3"/>
        <v>=E12/E11-1</v>
      </c>
    </row>
    <row r="13" spans="1:12">
      <c r="A13" s="14">
        <v>43187</v>
      </c>
      <c r="B13" s="11">
        <f>VLOOKUP(A13,[1]HD_price_daily!$A$8:$B$1768,2,0)</f>
        <v>174.76</v>
      </c>
      <c r="C13">
        <f t="shared" si="0"/>
        <v>4.5798030684673918E-4</v>
      </c>
      <c r="D13" s="1" t="str">
        <f t="shared" ca="1" si="1"/>
        <v>=B13/B12-1</v>
      </c>
      <c r="E13" s="8">
        <f>VLOOKUP(A13,'[1]S&amp;P500_DAILY'!$A$8:$B$1768,2,0)</f>
        <v>2605</v>
      </c>
      <c r="F13" s="1">
        <f t="shared" si="2"/>
        <v>-2.9166124426820428E-3</v>
      </c>
      <c r="G13" s="1" t="str">
        <f t="shared" ca="1" si="3"/>
        <v>=E13/E12-1</v>
      </c>
    </row>
    <row r="14" spans="1:12">
      <c r="A14" s="14">
        <v>43188</v>
      </c>
      <c r="B14" s="11">
        <f>VLOOKUP(A14,[1]HD_price_daily!$A$8:$B$1768,2,0)</f>
        <v>178.24</v>
      </c>
      <c r="C14">
        <f t="shared" si="0"/>
        <v>1.9913023575188982E-2</v>
      </c>
      <c r="D14" s="1" t="str">
        <f t="shared" ca="1" si="1"/>
        <v>=B14/B13-1</v>
      </c>
      <c r="E14" s="8">
        <f>VLOOKUP(A14,'[1]S&amp;P500_DAILY'!$A$8:$B$1768,2,0)</f>
        <v>2640.87</v>
      </c>
      <c r="F14" s="1">
        <f t="shared" si="2"/>
        <v>1.376967370441462E-2</v>
      </c>
      <c r="G14" s="1" t="str">
        <f t="shared" ca="1" si="3"/>
        <v>=E14/E13-1</v>
      </c>
    </row>
    <row r="15" spans="1:12">
      <c r="A15" s="14">
        <v>43192</v>
      </c>
      <c r="B15" s="11">
        <f>VLOOKUP(A15,[1]HD_price_daily!$A$8:$B$1768,2,0)</f>
        <v>172.9</v>
      </c>
      <c r="C15">
        <f t="shared" si="0"/>
        <v>-2.9959605026929959E-2</v>
      </c>
      <c r="D15" s="1" t="str">
        <f t="shared" ca="1" si="1"/>
        <v>=B15/B14-1</v>
      </c>
      <c r="E15" s="8">
        <f>VLOOKUP(A15,'[1]S&amp;P500_DAILY'!$A$8:$B$1768,2,0)</f>
        <v>2581.88</v>
      </c>
      <c r="F15" s="1">
        <f t="shared" si="2"/>
        <v>-2.233733580221664E-2</v>
      </c>
      <c r="G15" s="1" t="str">
        <f t="shared" ca="1" si="3"/>
        <v>=E15/E14-1</v>
      </c>
    </row>
    <row r="16" spans="1:12">
      <c r="A16" s="14">
        <v>43193</v>
      </c>
      <c r="B16" s="11">
        <f>VLOOKUP(A16,[1]HD_price_daily!$A$8:$B$1768,2,0)</f>
        <v>173.76</v>
      </c>
      <c r="C16">
        <f t="shared" si="0"/>
        <v>4.9739733950260323E-3</v>
      </c>
      <c r="D16" s="1" t="str">
        <f t="shared" ca="1" si="1"/>
        <v>=B16/B15-1</v>
      </c>
      <c r="E16" s="8">
        <f>VLOOKUP(A16,'[1]S&amp;P500_DAILY'!$A$8:$B$1768,2,0)</f>
        <v>2614.4499999999998</v>
      </c>
      <c r="F16" s="1">
        <f t="shared" si="2"/>
        <v>1.261483879963432E-2</v>
      </c>
      <c r="G16" s="1" t="str">
        <f t="shared" ca="1" si="3"/>
        <v>=E16/E15-1</v>
      </c>
    </row>
    <row r="17" spans="1:7">
      <c r="A17" s="14">
        <v>43194</v>
      </c>
      <c r="B17" s="11">
        <f>VLOOKUP(A17,[1]HD_price_daily!$A$8:$B$1768,2,0)</f>
        <v>177.44</v>
      </c>
      <c r="C17">
        <f t="shared" si="0"/>
        <v>2.1178637200736761E-2</v>
      </c>
      <c r="D17" s="1" t="str">
        <f t="shared" ca="1" si="1"/>
        <v>=B17/B16-1</v>
      </c>
      <c r="E17" s="8">
        <f>VLOOKUP(A17,'[1]S&amp;P500_DAILY'!$A$8:$B$1768,2,0)</f>
        <v>2644.69</v>
      </c>
      <c r="F17" s="1">
        <f t="shared" si="2"/>
        <v>1.1566486259060316E-2</v>
      </c>
      <c r="G17" s="1" t="str">
        <f t="shared" ca="1" si="3"/>
        <v>=E17/E16-1</v>
      </c>
    </row>
    <row r="18" spans="1:7">
      <c r="A18" s="14">
        <v>43195</v>
      </c>
      <c r="B18" s="11">
        <f>VLOOKUP(A18,[1]HD_price_daily!$A$8:$B$1768,2,0)</f>
        <v>179.13</v>
      </c>
      <c r="C18">
        <f t="shared" si="0"/>
        <v>9.524346257890004E-3</v>
      </c>
      <c r="D18" s="1" t="str">
        <f t="shared" ca="1" si="1"/>
        <v>=B18/B17-1</v>
      </c>
      <c r="E18" s="8">
        <f>VLOOKUP(A18,'[1]S&amp;P500_DAILY'!$A$8:$B$1768,2,0)</f>
        <v>2662.84</v>
      </c>
      <c r="F18" s="1">
        <f t="shared" si="2"/>
        <v>6.8628081173975897E-3</v>
      </c>
      <c r="G18" s="1" t="str">
        <f t="shared" ca="1" si="3"/>
        <v>=E18/E17-1</v>
      </c>
    </row>
    <row r="19" spans="1:7">
      <c r="A19" s="14">
        <v>43196</v>
      </c>
      <c r="B19" s="11">
        <f>VLOOKUP(A19,[1]HD_price_daily!$A$8:$B$1768,2,0)</f>
        <v>174.45</v>
      </c>
      <c r="C19">
        <f t="shared" si="0"/>
        <v>-2.6126277005526721E-2</v>
      </c>
      <c r="D19" s="1" t="str">
        <f t="shared" ca="1" si="1"/>
        <v>=B19/B18-1</v>
      </c>
      <c r="E19" s="8">
        <f>VLOOKUP(A19,'[1]S&amp;P500_DAILY'!$A$8:$B$1768,2,0)</f>
        <v>2604.4699999999998</v>
      </c>
      <c r="F19" s="1">
        <f t="shared" si="2"/>
        <v>-2.192020549488527E-2</v>
      </c>
      <c r="G19" s="1" t="str">
        <f t="shared" ca="1" si="3"/>
        <v>=E19/E18-1</v>
      </c>
    </row>
    <row r="20" spans="1:7">
      <c r="A20" s="14">
        <v>43199</v>
      </c>
      <c r="B20" s="11">
        <f>VLOOKUP(A20,[1]HD_price_daily!$A$8:$B$1768,2,0)</f>
        <v>172.51</v>
      </c>
      <c r="C20">
        <f t="shared" si="0"/>
        <v>-1.1120664946976166E-2</v>
      </c>
      <c r="D20" s="1" t="str">
        <f t="shared" ca="1" si="1"/>
        <v>=B20/B19-1</v>
      </c>
      <c r="E20" s="8">
        <f>VLOOKUP(A20,'[1]S&amp;P500_DAILY'!$A$8:$B$1768,2,0)</f>
        <v>2613.16</v>
      </c>
      <c r="F20" s="1">
        <f t="shared" si="2"/>
        <v>3.336571356168383E-3</v>
      </c>
      <c r="G20" s="1" t="str">
        <f t="shared" ca="1" si="3"/>
        <v>=E20/E19-1</v>
      </c>
    </row>
    <row r="21" spans="1:7">
      <c r="A21" s="14">
        <v>43200</v>
      </c>
      <c r="B21" s="11">
        <f>VLOOKUP(A21,[1]HD_price_daily!$A$8:$B$1768,2,0)</f>
        <v>173.49</v>
      </c>
      <c r="C21">
        <f t="shared" si="0"/>
        <v>5.6808300968060887E-3</v>
      </c>
      <c r="D21" s="1" t="str">
        <f t="shared" ca="1" si="1"/>
        <v>=B21/B20-1</v>
      </c>
      <c r="E21" s="8">
        <f>VLOOKUP(A21,'[1]S&amp;P500_DAILY'!$A$8:$B$1768,2,0)</f>
        <v>2656.87</v>
      </c>
      <c r="F21" s="1">
        <f t="shared" si="2"/>
        <v>1.6726874741691988E-2</v>
      </c>
      <c r="G21" s="1" t="str">
        <f t="shared" ca="1" si="3"/>
        <v>=E21/E20-1</v>
      </c>
    </row>
    <row r="22" spans="1:7">
      <c r="A22" s="14">
        <v>43201</v>
      </c>
      <c r="B22" s="11">
        <f>VLOOKUP(A22,[1]HD_price_daily!$A$8:$B$1768,2,0)</f>
        <v>172.86</v>
      </c>
      <c r="C22">
        <f t="shared" si="0"/>
        <v>-3.6313332180528679E-3</v>
      </c>
      <c r="D22" s="1" t="str">
        <f t="shared" ca="1" si="1"/>
        <v>=B22/B21-1</v>
      </c>
      <c r="E22" s="8">
        <f>VLOOKUP(A22,'[1]S&amp;P500_DAILY'!$A$8:$B$1768,2,0)</f>
        <v>2642.19</v>
      </c>
      <c r="F22" s="1">
        <f t="shared" si="2"/>
        <v>-5.5252985656053522E-3</v>
      </c>
      <c r="G22" s="1" t="str">
        <f t="shared" ca="1" si="3"/>
        <v>=E22/E21-1</v>
      </c>
    </row>
    <row r="23" spans="1:7">
      <c r="A23" s="14">
        <v>43202</v>
      </c>
      <c r="B23" s="11">
        <f>VLOOKUP(A23,[1]HD_price_daily!$A$8:$B$1768,2,0)</f>
        <v>173.36</v>
      </c>
      <c r="C23">
        <f t="shared" si="0"/>
        <v>2.8925141733193716E-3</v>
      </c>
      <c r="D23" s="1" t="str">
        <f t="shared" ca="1" si="1"/>
        <v>=B23/B22-1</v>
      </c>
      <c r="E23" s="8">
        <f>VLOOKUP(A23,'[1]S&amp;P500_DAILY'!$A$8:$B$1768,2,0)</f>
        <v>2663.99</v>
      </c>
      <c r="F23" s="1">
        <f t="shared" si="2"/>
        <v>8.2507314008453125E-3</v>
      </c>
      <c r="G23" s="1" t="str">
        <f t="shared" ca="1" si="3"/>
        <v>=E23/E22-1</v>
      </c>
    </row>
    <row r="24" spans="1:7">
      <c r="A24" s="14">
        <v>43203</v>
      </c>
      <c r="B24" s="11">
        <f>VLOOKUP(A24,[1]HD_price_daily!$A$8:$B$1768,2,0)</f>
        <v>172.8</v>
      </c>
      <c r="C24">
        <f t="shared" si="0"/>
        <v>-3.2302722658053007E-3</v>
      </c>
      <c r="D24" s="1" t="str">
        <f t="shared" ca="1" si="1"/>
        <v>=B24/B23-1</v>
      </c>
      <c r="E24" s="8">
        <f>VLOOKUP(A24,'[1]S&amp;P500_DAILY'!$A$8:$B$1768,2,0)</f>
        <v>2656.3</v>
      </c>
      <c r="F24" s="1">
        <f t="shared" si="2"/>
        <v>-2.8866474724003055E-3</v>
      </c>
      <c r="G24" s="1" t="str">
        <f t="shared" ca="1" si="3"/>
        <v>=E24/E23-1</v>
      </c>
    </row>
    <row r="25" spans="1:7">
      <c r="A25" s="14">
        <v>43206</v>
      </c>
      <c r="B25" s="11">
        <f>VLOOKUP(A25,[1]HD_price_daily!$A$8:$B$1768,2,0)</f>
        <v>174.43</v>
      </c>
      <c r="C25">
        <f t="shared" si="0"/>
        <v>9.4328703703703276E-3</v>
      </c>
      <c r="D25" s="1" t="str">
        <f t="shared" ca="1" si="1"/>
        <v>=B25/B24-1</v>
      </c>
      <c r="E25" s="8">
        <f>VLOOKUP(A25,'[1]S&amp;P500_DAILY'!$A$8:$B$1768,2,0)</f>
        <v>2677.84</v>
      </c>
      <c r="F25" s="1">
        <f t="shared" si="2"/>
        <v>8.1090238301395612E-3</v>
      </c>
      <c r="G25" s="1" t="str">
        <f t="shared" ca="1" si="3"/>
        <v>=E25/E24-1</v>
      </c>
    </row>
    <row r="26" spans="1:7">
      <c r="A26" s="14">
        <v>43207</v>
      </c>
      <c r="B26" s="11">
        <f>VLOOKUP(A26,[1]HD_price_daily!$A$8:$B$1768,2,0)</f>
        <v>174.91</v>
      </c>
      <c r="C26">
        <f t="shared" si="0"/>
        <v>2.7518202144125592E-3</v>
      </c>
      <c r="D26" s="1" t="str">
        <f t="shared" ca="1" si="1"/>
        <v>=B26/B25-1</v>
      </c>
      <c r="E26" s="8">
        <f>VLOOKUP(A26,'[1]S&amp;P500_DAILY'!$A$8:$B$1768,2,0)</f>
        <v>2706.39</v>
      </c>
      <c r="F26" s="1">
        <f t="shared" si="2"/>
        <v>1.0661577988229309E-2</v>
      </c>
      <c r="G26" s="1" t="str">
        <f t="shared" ca="1" si="3"/>
        <v>=E26/E25-1</v>
      </c>
    </row>
    <row r="27" spans="1:7">
      <c r="A27" s="14">
        <v>43208</v>
      </c>
      <c r="B27" s="11">
        <f>VLOOKUP(A27,[1]HD_price_daily!$A$8:$B$1768,2,0)</f>
        <v>179.85</v>
      </c>
      <c r="C27">
        <f t="shared" si="0"/>
        <v>2.8243096449602545E-2</v>
      </c>
      <c r="D27" s="1" t="str">
        <f t="shared" ca="1" si="1"/>
        <v>=B27/B26-1</v>
      </c>
      <c r="E27" s="8">
        <f>VLOOKUP(A27,'[1]S&amp;P500_DAILY'!$A$8:$B$1768,2,0)</f>
        <v>2708.64</v>
      </c>
      <c r="F27" s="1">
        <f t="shared" si="2"/>
        <v>8.3136576768305659E-4</v>
      </c>
      <c r="G27" s="1" t="str">
        <f t="shared" ca="1" si="3"/>
        <v>=E27/E26-1</v>
      </c>
    </row>
    <row r="28" spans="1:7">
      <c r="A28" s="14">
        <v>43209</v>
      </c>
      <c r="B28" s="11">
        <f>VLOOKUP(A28,[1]HD_price_daily!$A$8:$B$1768,2,0)</f>
        <v>177.08</v>
      </c>
      <c r="C28">
        <f t="shared" si="0"/>
        <v>-1.5401723658604261E-2</v>
      </c>
      <c r="D28" s="1" t="str">
        <f t="shared" ca="1" si="1"/>
        <v>=B28/B27-1</v>
      </c>
      <c r="E28" s="8">
        <f>VLOOKUP(A28,'[1]S&amp;P500_DAILY'!$A$8:$B$1768,2,0)</f>
        <v>2693.13</v>
      </c>
      <c r="F28" s="1">
        <f t="shared" si="2"/>
        <v>-5.7261208576997458E-3</v>
      </c>
      <c r="G28" s="1" t="str">
        <f t="shared" ca="1" si="3"/>
        <v>=E28/E27-1</v>
      </c>
    </row>
    <row r="29" spans="1:7">
      <c r="A29" s="14">
        <v>43210</v>
      </c>
      <c r="B29" s="11">
        <f>VLOOKUP(A29,[1]HD_price_daily!$A$8:$B$1768,2,0)</f>
        <v>177.01</v>
      </c>
      <c r="C29">
        <f t="shared" si="0"/>
        <v>-3.9530155861766669E-4</v>
      </c>
      <c r="D29" s="1" t="str">
        <f t="shared" ca="1" si="1"/>
        <v>=B29/B28-1</v>
      </c>
      <c r="E29" s="8">
        <f>VLOOKUP(A29,'[1]S&amp;P500_DAILY'!$A$8:$B$1768,2,0)</f>
        <v>2670.14</v>
      </c>
      <c r="F29" s="1">
        <f t="shared" si="2"/>
        <v>-8.5365355552833311E-3</v>
      </c>
      <c r="G29" s="1" t="str">
        <f t="shared" ca="1" si="3"/>
        <v>=E29/E28-1</v>
      </c>
    </row>
    <row r="30" spans="1:7">
      <c r="A30" s="14">
        <v>43213</v>
      </c>
      <c r="B30" s="11">
        <f>VLOOKUP(A30,[1]HD_price_daily!$A$8:$B$1768,2,0)</f>
        <v>177.66</v>
      </c>
      <c r="C30">
        <f t="shared" si="0"/>
        <v>3.6721089203999302E-3</v>
      </c>
      <c r="D30" s="1" t="str">
        <f t="shared" ca="1" si="1"/>
        <v>=B30/B29-1</v>
      </c>
      <c r="E30" s="8">
        <f>VLOOKUP(A30,'[1]S&amp;P500_DAILY'!$A$8:$B$1768,2,0)</f>
        <v>2670.29</v>
      </c>
      <c r="F30" s="1">
        <f t="shared" si="2"/>
        <v>5.6176829679399631E-5</v>
      </c>
      <c r="G30" s="1" t="str">
        <f t="shared" ca="1" si="3"/>
        <v>=E30/E29-1</v>
      </c>
    </row>
    <row r="31" spans="1:7">
      <c r="A31" s="14">
        <v>43214</v>
      </c>
      <c r="B31" s="11">
        <f>VLOOKUP(A31,[1]HD_price_daily!$A$8:$B$1768,2,0)</f>
        <v>176.26</v>
      </c>
      <c r="C31">
        <f t="shared" si="0"/>
        <v>-7.8802206461781044E-3</v>
      </c>
      <c r="D31" s="1" t="str">
        <f t="shared" ca="1" si="1"/>
        <v>=B31/B30-1</v>
      </c>
      <c r="E31" s="8">
        <f>VLOOKUP(A31,'[1]S&amp;P500_DAILY'!$A$8:$B$1768,2,0)</f>
        <v>2634.56</v>
      </c>
      <c r="F31" s="1">
        <f t="shared" si="2"/>
        <v>-1.3380569151665189E-2</v>
      </c>
      <c r="G31" s="1" t="str">
        <f t="shared" ca="1" si="3"/>
        <v>=E31/E30-1</v>
      </c>
    </row>
    <row r="32" spans="1:7">
      <c r="A32" s="14">
        <v>43215</v>
      </c>
      <c r="B32" s="11">
        <f>VLOOKUP(A32,[1]HD_price_daily!$A$8:$B$1768,2,0)</f>
        <v>177.39</v>
      </c>
      <c r="C32">
        <f t="shared" si="0"/>
        <v>6.4109837739703135E-3</v>
      </c>
      <c r="D32" s="1" t="str">
        <f t="shared" ca="1" si="1"/>
        <v>=B32/B31-1</v>
      </c>
      <c r="E32" s="8">
        <f>VLOOKUP(A32,'[1]S&amp;P500_DAILY'!$A$8:$B$1768,2,0)</f>
        <v>2639.4</v>
      </c>
      <c r="F32" s="1">
        <f t="shared" si="2"/>
        <v>1.8371189116968001E-3</v>
      </c>
      <c r="G32" s="1" t="str">
        <f t="shared" ca="1" si="3"/>
        <v>=E32/E31-1</v>
      </c>
    </row>
    <row r="33" spans="1:7">
      <c r="A33" s="14">
        <v>43216</v>
      </c>
      <c r="B33" s="11">
        <f>VLOOKUP(A33,[1]HD_price_daily!$A$8:$B$1768,2,0)</f>
        <v>185.72</v>
      </c>
      <c r="C33">
        <f t="shared" si="0"/>
        <v>4.695867861773495E-2</v>
      </c>
      <c r="D33" s="1" t="str">
        <f t="shared" ca="1" si="1"/>
        <v>=B33/B32-1</v>
      </c>
      <c r="E33" s="8">
        <f>VLOOKUP(A33,'[1]S&amp;P500_DAILY'!$A$8:$B$1768,2,0)</f>
        <v>2666.94</v>
      </c>
      <c r="F33" s="1">
        <f t="shared" si="2"/>
        <v>1.0434189588542919E-2</v>
      </c>
      <c r="G33" s="1" t="str">
        <f t="shared" ca="1" si="3"/>
        <v>=E33/E32-1</v>
      </c>
    </row>
    <row r="34" spans="1:7">
      <c r="A34" s="14">
        <v>43217</v>
      </c>
      <c r="B34" s="11">
        <f>VLOOKUP(A34,[1]HD_price_daily!$A$8:$B$1768,2,0)</f>
        <v>186.46</v>
      </c>
      <c r="C34">
        <f t="shared" si="0"/>
        <v>3.9844927848373679E-3</v>
      </c>
      <c r="D34" s="1" t="str">
        <f t="shared" ca="1" si="1"/>
        <v>=B34/B33-1</v>
      </c>
      <c r="E34" s="8">
        <f>VLOOKUP(A34,'[1]S&amp;P500_DAILY'!$A$8:$B$1768,2,0)</f>
        <v>2669.91</v>
      </c>
      <c r="F34" s="1">
        <f t="shared" si="2"/>
        <v>1.1136358523251566E-3</v>
      </c>
      <c r="G34" s="1" t="str">
        <f t="shared" ca="1" si="3"/>
        <v>=E34/E33-1</v>
      </c>
    </row>
    <row r="35" spans="1:7">
      <c r="A35" s="14">
        <v>43220</v>
      </c>
      <c r="B35" s="11">
        <f>VLOOKUP(A35,[1]HD_price_daily!$A$8:$B$1768,2,0)</f>
        <v>184.8</v>
      </c>
      <c r="C35">
        <f t="shared" si="0"/>
        <v>-8.902713718760058E-3</v>
      </c>
      <c r="D35" s="1" t="str">
        <f t="shared" ca="1" si="1"/>
        <v>=B35/B34-1</v>
      </c>
      <c r="E35" s="8">
        <f>VLOOKUP(A35,'[1]S&amp;P500_DAILY'!$A$8:$B$1768,2,0)</f>
        <v>2648.05</v>
      </c>
      <c r="F35" s="1">
        <f t="shared" si="2"/>
        <v>-8.1875419021614215E-3</v>
      </c>
      <c r="G35" s="1" t="str">
        <f t="shared" ca="1" si="3"/>
        <v>=E35/E34-1</v>
      </c>
    </row>
    <row r="36" spans="1:7">
      <c r="A36" s="14">
        <v>43221</v>
      </c>
      <c r="B36" s="11">
        <f>VLOOKUP(A36,[1]HD_price_daily!$A$8:$B$1768,2,0)</f>
        <v>184.63</v>
      </c>
      <c r="C36">
        <f t="shared" si="0"/>
        <v>-9.199134199134873E-4</v>
      </c>
      <c r="D36" s="1" t="str">
        <f t="shared" ca="1" si="1"/>
        <v>=B36/B35-1</v>
      </c>
      <c r="E36" s="8">
        <f>VLOOKUP(A36,'[1]S&amp;P500_DAILY'!$A$8:$B$1768,2,0)</f>
        <v>2654.8</v>
      </c>
      <c r="F36" s="1">
        <f t="shared" si="2"/>
        <v>2.5490455240648746E-3</v>
      </c>
      <c r="G36" s="1" t="str">
        <f t="shared" ca="1" si="3"/>
        <v>=E36/E35-1</v>
      </c>
    </row>
    <row r="37" spans="1:7">
      <c r="A37" s="14">
        <v>43222</v>
      </c>
      <c r="B37" s="11">
        <f>VLOOKUP(A37,[1]HD_price_daily!$A$8:$B$1768,2,0)</f>
        <v>185.91</v>
      </c>
      <c r="C37">
        <f t="shared" si="0"/>
        <v>6.9327844878948053E-3</v>
      </c>
      <c r="D37" s="1" t="str">
        <f t="shared" ca="1" si="1"/>
        <v>=B37/B36-1</v>
      </c>
      <c r="E37" s="8">
        <f>VLOOKUP(A37,'[1]S&amp;P500_DAILY'!$A$8:$B$1768,2,0)</f>
        <v>2635.67</v>
      </c>
      <c r="F37" s="1">
        <f t="shared" si="2"/>
        <v>-7.205815880669042E-3</v>
      </c>
      <c r="G37" s="1" t="str">
        <f t="shared" ca="1" si="3"/>
        <v>=E37/E36-1</v>
      </c>
    </row>
    <row r="38" spans="1:7">
      <c r="A38" s="14">
        <v>43223</v>
      </c>
      <c r="B38" s="11">
        <f>VLOOKUP(A38,[1]HD_price_daily!$A$8:$B$1768,2,0)</f>
        <v>183.19</v>
      </c>
      <c r="C38">
        <f t="shared" si="0"/>
        <v>-1.4630735302027853E-2</v>
      </c>
      <c r="D38" s="1" t="str">
        <f t="shared" ca="1" si="1"/>
        <v>=B38/B37-1</v>
      </c>
      <c r="E38" s="8">
        <f>VLOOKUP(A38,'[1]S&amp;P500_DAILY'!$A$8:$B$1768,2,0)</f>
        <v>2629.73</v>
      </c>
      <c r="F38" s="1">
        <f t="shared" si="2"/>
        <v>-2.2536964035709817E-3</v>
      </c>
      <c r="G38" s="1" t="str">
        <f t="shared" ca="1" si="3"/>
        <v>=E38/E37-1</v>
      </c>
    </row>
    <row r="39" spans="1:7">
      <c r="A39" s="14">
        <v>43224</v>
      </c>
      <c r="B39" s="11">
        <f>VLOOKUP(A39,[1]HD_price_daily!$A$8:$B$1768,2,0)</f>
        <v>185.03</v>
      </c>
      <c r="C39">
        <f t="shared" si="0"/>
        <v>1.0044216387357308E-2</v>
      </c>
      <c r="D39" s="1" t="str">
        <f t="shared" ca="1" si="1"/>
        <v>=B39/B38-1</v>
      </c>
      <c r="E39" s="8">
        <f>VLOOKUP(A39,'[1]S&amp;P500_DAILY'!$A$8:$B$1768,2,0)</f>
        <v>2663.42</v>
      </c>
      <c r="F39" s="1">
        <f t="shared" si="2"/>
        <v>1.2811201149927953E-2</v>
      </c>
      <c r="G39" s="1" t="str">
        <f t="shared" ca="1" si="3"/>
        <v>=E39/E38-1</v>
      </c>
    </row>
    <row r="40" spans="1:7">
      <c r="A40" s="14">
        <v>43227</v>
      </c>
      <c r="B40" s="11">
        <f>VLOOKUP(A40,[1]HD_price_daily!$A$8:$B$1768,2,0)</f>
        <v>183.56</v>
      </c>
      <c r="C40">
        <f t="shared" si="0"/>
        <v>-7.9446576230881583E-3</v>
      </c>
      <c r="D40" s="1" t="str">
        <f t="shared" ca="1" si="1"/>
        <v>=B40/B39-1</v>
      </c>
      <c r="E40" s="8">
        <f>VLOOKUP(A40,'[1]S&amp;P500_DAILY'!$A$8:$B$1768,2,0)</f>
        <v>2672.63</v>
      </c>
      <c r="F40" s="1">
        <f t="shared" si="2"/>
        <v>3.4579600663808829E-3</v>
      </c>
      <c r="G40" s="1" t="str">
        <f t="shared" ca="1" si="3"/>
        <v>=E40/E39-1</v>
      </c>
    </row>
    <row r="41" spans="1:7">
      <c r="A41" s="14">
        <v>43228</v>
      </c>
      <c r="B41" s="11">
        <f>VLOOKUP(A41,[1]HD_price_daily!$A$8:$B$1768,2,0)</f>
        <v>185.04</v>
      </c>
      <c r="C41">
        <f t="shared" si="0"/>
        <v>8.0627587709740656E-3</v>
      </c>
      <c r="D41" s="1" t="str">
        <f t="shared" ca="1" si="1"/>
        <v>=B41/B40-1</v>
      </c>
      <c r="E41" s="8">
        <f>VLOOKUP(A41,'[1]S&amp;P500_DAILY'!$A$8:$B$1768,2,0)</f>
        <v>2671.92</v>
      </c>
      <c r="F41" s="1">
        <f t="shared" si="2"/>
        <v>-2.6565592693339468E-4</v>
      </c>
      <c r="G41" s="1" t="str">
        <f t="shared" ca="1" si="3"/>
        <v>=E41/E40-1</v>
      </c>
    </row>
    <row r="42" spans="1:7">
      <c r="A42" s="14">
        <v>43229</v>
      </c>
      <c r="B42" s="11">
        <f>VLOOKUP(A42,[1]HD_price_daily!$A$8:$B$1768,2,0)</f>
        <v>186.36</v>
      </c>
      <c r="C42">
        <f t="shared" si="0"/>
        <v>7.1335927367057739E-3</v>
      </c>
      <c r="D42" s="1" t="str">
        <f t="shared" ca="1" si="1"/>
        <v>=B42/B41-1</v>
      </c>
      <c r="E42" s="8">
        <f>VLOOKUP(A42,'[1]S&amp;P500_DAILY'!$A$8:$B$1768,2,0)</f>
        <v>2697.79</v>
      </c>
      <c r="F42" s="1">
        <f t="shared" si="2"/>
        <v>9.682176113057217E-3</v>
      </c>
      <c r="G42" s="1" t="str">
        <f t="shared" ca="1" si="3"/>
        <v>=E42/E41-1</v>
      </c>
    </row>
    <row r="43" spans="1:7">
      <c r="A43" s="14">
        <v>43230</v>
      </c>
      <c r="B43" s="11">
        <f>VLOOKUP(A43,[1]HD_price_daily!$A$8:$B$1768,2,0)</f>
        <v>187.16</v>
      </c>
      <c r="C43">
        <f t="shared" si="0"/>
        <v>4.2927666881305004E-3</v>
      </c>
      <c r="D43" s="1" t="str">
        <f t="shared" ca="1" si="1"/>
        <v>=B43/B42-1</v>
      </c>
      <c r="E43" s="8">
        <f>VLOOKUP(A43,'[1]S&amp;P500_DAILY'!$A$8:$B$1768,2,0)</f>
        <v>2723.07</v>
      </c>
      <c r="F43" s="1">
        <f t="shared" si="2"/>
        <v>9.3706329996035009E-3</v>
      </c>
      <c r="G43" s="1" t="str">
        <f t="shared" ca="1" si="3"/>
        <v>=E43/E42-1</v>
      </c>
    </row>
    <row r="44" spans="1:7">
      <c r="A44" s="14">
        <v>43231</v>
      </c>
      <c r="B44" s="11">
        <f>VLOOKUP(A44,[1]HD_price_daily!$A$8:$B$1768,2,0)</f>
        <v>190.31</v>
      </c>
      <c r="C44">
        <f t="shared" si="0"/>
        <v>1.6830519341739736E-2</v>
      </c>
      <c r="D44" s="1" t="str">
        <f t="shared" ca="1" si="1"/>
        <v>=B44/B43-1</v>
      </c>
      <c r="E44" s="8">
        <f>VLOOKUP(A44,'[1]S&amp;P500_DAILY'!$A$8:$B$1768,2,0)</f>
        <v>2727.72</v>
      </c>
      <c r="F44" s="1">
        <f t="shared" si="2"/>
        <v>1.7076314600799058E-3</v>
      </c>
      <c r="G44" s="1" t="str">
        <f t="shared" ca="1" si="3"/>
        <v>=E44/E43-1</v>
      </c>
    </row>
    <row r="45" spans="1:7">
      <c r="A45" s="14">
        <v>43234</v>
      </c>
      <c r="B45" s="11">
        <f>VLOOKUP(A45,[1]HD_price_daily!$A$8:$B$1768,2,0)</f>
        <v>191.08</v>
      </c>
      <c r="C45">
        <f t="shared" si="0"/>
        <v>4.0460301613158833E-3</v>
      </c>
      <c r="D45" s="1" t="str">
        <f t="shared" ca="1" si="1"/>
        <v>=B45/B44-1</v>
      </c>
      <c r="E45" s="8">
        <f>VLOOKUP(A45,'[1]S&amp;P500_DAILY'!$A$8:$B$1768,2,0)</f>
        <v>2730.13</v>
      </c>
      <c r="F45" s="1">
        <f t="shared" si="2"/>
        <v>8.8352176909656244E-4</v>
      </c>
      <c r="G45" s="1" t="str">
        <f t="shared" ca="1" si="3"/>
        <v>=E45/E44-1</v>
      </c>
    </row>
    <row r="46" spans="1:7">
      <c r="A46" s="14">
        <v>43235</v>
      </c>
      <c r="B46" s="11">
        <f>VLOOKUP(A46,[1]HD_price_daily!$A$8:$B$1768,2,0)</f>
        <v>187.98</v>
      </c>
      <c r="C46">
        <f t="shared" si="0"/>
        <v>-1.6223571279045501E-2</v>
      </c>
      <c r="D46" s="1" t="str">
        <f t="shared" ca="1" si="1"/>
        <v>=B46/B45-1</v>
      </c>
      <c r="E46" s="8">
        <f>VLOOKUP(A46,'[1]S&amp;P500_DAILY'!$A$8:$B$1768,2,0)</f>
        <v>2711.45</v>
      </c>
      <c r="F46" s="1">
        <f t="shared" si="2"/>
        <v>-6.8421650251088151E-3</v>
      </c>
      <c r="G46" s="1" t="str">
        <f t="shared" ca="1" si="3"/>
        <v>=E46/E45-1</v>
      </c>
    </row>
    <row r="47" spans="1:7">
      <c r="A47" s="14">
        <v>43236</v>
      </c>
      <c r="B47" s="11">
        <f>VLOOKUP(A47,[1]HD_price_daily!$A$8:$B$1768,2,0)</f>
        <v>186.38</v>
      </c>
      <c r="C47">
        <f t="shared" si="0"/>
        <v>-8.5115437812532946E-3</v>
      </c>
      <c r="D47" s="1" t="str">
        <f t="shared" ca="1" si="1"/>
        <v>=B47/B46-1</v>
      </c>
      <c r="E47" s="8">
        <f>VLOOKUP(A47,'[1]S&amp;P500_DAILY'!$A$8:$B$1768,2,0)</f>
        <v>2722.46</v>
      </c>
      <c r="F47" s="1">
        <f t="shared" si="2"/>
        <v>4.060558004020054E-3</v>
      </c>
      <c r="G47" s="1" t="str">
        <f t="shared" ca="1" si="3"/>
        <v>=E47/E46-1</v>
      </c>
    </row>
    <row r="48" spans="1:7">
      <c r="A48" s="14">
        <v>43237</v>
      </c>
      <c r="B48" s="11">
        <f>VLOOKUP(A48,[1]HD_price_daily!$A$8:$B$1768,2,0)</f>
        <v>185.33</v>
      </c>
      <c r="C48">
        <f t="shared" si="0"/>
        <v>-5.6336516793646929E-3</v>
      </c>
      <c r="D48" s="1" t="str">
        <f t="shared" ca="1" si="1"/>
        <v>=B48/B47-1</v>
      </c>
      <c r="E48" s="8">
        <f>VLOOKUP(A48,'[1]S&amp;P500_DAILY'!$A$8:$B$1768,2,0)</f>
        <v>2720.13</v>
      </c>
      <c r="F48" s="1">
        <f t="shared" si="2"/>
        <v>-8.5584361202728498E-4</v>
      </c>
      <c r="G48" s="1" t="str">
        <f t="shared" ca="1" si="3"/>
        <v>=E48/E47-1</v>
      </c>
    </row>
    <row r="49" spans="1:7">
      <c r="A49" s="14">
        <v>43238</v>
      </c>
      <c r="B49" s="11">
        <f>VLOOKUP(A49,[1]HD_price_daily!$A$8:$B$1768,2,0)</f>
        <v>187.42</v>
      </c>
      <c r="C49">
        <f t="shared" si="0"/>
        <v>1.1277181244266909E-2</v>
      </c>
      <c r="D49" s="1" t="str">
        <f t="shared" ca="1" si="1"/>
        <v>=B49/B48-1</v>
      </c>
      <c r="E49" s="8">
        <f>VLOOKUP(A49,'[1]S&amp;P500_DAILY'!$A$8:$B$1768,2,0)</f>
        <v>2712.97</v>
      </c>
      <c r="F49" s="1">
        <f t="shared" si="2"/>
        <v>-2.6322271362031469E-3</v>
      </c>
      <c r="G49" s="1" t="str">
        <f t="shared" ca="1" si="3"/>
        <v>=E49/E48-1</v>
      </c>
    </row>
    <row r="50" spans="1:7">
      <c r="A50" s="14">
        <v>43241</v>
      </c>
      <c r="B50" s="11">
        <f>VLOOKUP(A50,[1]HD_price_daily!$A$8:$B$1768,2,0)</f>
        <v>189.79</v>
      </c>
      <c r="C50">
        <f t="shared" si="0"/>
        <v>1.2645395368690693E-2</v>
      </c>
      <c r="D50" s="1" t="str">
        <f t="shared" ca="1" si="1"/>
        <v>=B50/B49-1</v>
      </c>
      <c r="E50" s="8">
        <f>VLOOKUP(A50,'[1]S&amp;P500_DAILY'!$A$8:$B$1768,2,0)</f>
        <v>2733.01</v>
      </c>
      <c r="F50" s="1">
        <f t="shared" si="2"/>
        <v>7.386738519040259E-3</v>
      </c>
      <c r="G50" s="1" t="str">
        <f t="shared" ca="1" si="3"/>
        <v>=E50/E49-1</v>
      </c>
    </row>
    <row r="51" spans="1:7">
      <c r="A51" s="14">
        <v>43242</v>
      </c>
      <c r="B51" s="11">
        <f>VLOOKUP(A51,[1]HD_price_daily!$A$8:$B$1768,2,0)</f>
        <v>186.87</v>
      </c>
      <c r="C51">
        <f t="shared" si="0"/>
        <v>-1.5385425997154645E-2</v>
      </c>
      <c r="D51" s="1" t="str">
        <f t="shared" ca="1" si="1"/>
        <v>=B51/B50-1</v>
      </c>
      <c r="E51" s="8">
        <f>VLOOKUP(A51,'[1]S&amp;P500_DAILY'!$A$8:$B$1768,2,0)</f>
        <v>2724.44</v>
      </c>
      <c r="F51" s="1">
        <f t="shared" si="2"/>
        <v>-3.1357367883761977E-3</v>
      </c>
      <c r="G51" s="1" t="str">
        <f t="shared" ca="1" si="3"/>
        <v>=E51/E50-1</v>
      </c>
    </row>
    <row r="52" spans="1:7">
      <c r="A52" s="14">
        <v>43243</v>
      </c>
      <c r="B52" s="11">
        <f>VLOOKUP(A52,[1]HD_price_daily!$A$8:$B$1768,2,0)</f>
        <v>186.67</v>
      </c>
      <c r="C52">
        <f t="shared" si="0"/>
        <v>-1.0702627495050576E-3</v>
      </c>
      <c r="D52" s="1" t="str">
        <f t="shared" ca="1" si="1"/>
        <v>=B52/B51-1</v>
      </c>
      <c r="E52" s="8">
        <f>VLOOKUP(A52,'[1]S&amp;P500_DAILY'!$A$8:$B$1768,2,0)</f>
        <v>2733.29</v>
      </c>
      <c r="F52" s="1">
        <f t="shared" si="2"/>
        <v>3.248373977771557E-3</v>
      </c>
      <c r="G52" s="1" t="str">
        <f t="shared" ca="1" si="3"/>
        <v>=E52/E51-1</v>
      </c>
    </row>
    <row r="53" spans="1:7">
      <c r="A53" s="14">
        <v>43244</v>
      </c>
      <c r="B53" s="11">
        <f>VLOOKUP(A53,[1]HD_price_daily!$A$8:$B$1768,2,0)</f>
        <v>187.15</v>
      </c>
      <c r="C53">
        <f t="shared" si="0"/>
        <v>2.5713826538813489E-3</v>
      </c>
      <c r="D53" s="1" t="str">
        <f t="shared" ca="1" si="1"/>
        <v>=B53/B52-1</v>
      </c>
      <c r="E53" s="8">
        <f>VLOOKUP(A53,'[1]S&amp;P500_DAILY'!$A$8:$B$1768,2,0)</f>
        <v>2727.76</v>
      </c>
      <c r="F53" s="1">
        <f t="shared" si="2"/>
        <v>-2.0232028068736252E-3</v>
      </c>
      <c r="G53" s="1" t="str">
        <f t="shared" ca="1" si="3"/>
        <v>=E53/E52-1</v>
      </c>
    </row>
    <row r="54" spans="1:7">
      <c r="A54" s="14">
        <v>43245</v>
      </c>
      <c r="B54" s="11">
        <f>VLOOKUP(A54,[1]HD_price_daily!$A$8:$B$1768,2,0)</f>
        <v>186.85</v>
      </c>
      <c r="C54">
        <f t="shared" si="0"/>
        <v>-1.6029922522041717E-3</v>
      </c>
      <c r="D54" s="1" t="str">
        <f t="shared" ca="1" si="1"/>
        <v>=B54/B53-1</v>
      </c>
      <c r="E54" s="8">
        <f>VLOOKUP(A54,'[1]S&amp;P500_DAILY'!$A$8:$B$1768,2,0)</f>
        <v>2721.33</v>
      </c>
      <c r="F54" s="1">
        <f t="shared" si="2"/>
        <v>-2.357245505469785E-3</v>
      </c>
      <c r="G54" s="1" t="str">
        <f t="shared" ca="1" si="3"/>
        <v>=E54/E53-1</v>
      </c>
    </row>
    <row r="55" spans="1:7">
      <c r="A55" s="14">
        <v>43249</v>
      </c>
      <c r="B55" s="11">
        <f>VLOOKUP(A55,[1]HD_price_daily!$A$8:$B$1768,2,0)</f>
        <v>185</v>
      </c>
      <c r="C55">
        <f t="shared" si="0"/>
        <v>-9.9009900990099098E-3</v>
      </c>
      <c r="D55" s="1" t="str">
        <f t="shared" ca="1" si="1"/>
        <v>=B55/B54-1</v>
      </c>
      <c r="E55" s="8">
        <f>VLOOKUP(A55,'[1]S&amp;P500_DAILY'!$A$8:$B$1768,2,0)</f>
        <v>2689.86</v>
      </c>
      <c r="F55" s="1">
        <f t="shared" si="2"/>
        <v>-1.1564198388288038E-2</v>
      </c>
      <c r="G55" s="1" t="str">
        <f t="shared" ca="1" si="3"/>
        <v>=E55/E54-1</v>
      </c>
    </row>
    <row r="56" spans="1:7">
      <c r="A56" s="14">
        <v>43250</v>
      </c>
      <c r="B56" s="11">
        <f>VLOOKUP(A56,[1]HD_price_daily!$A$8:$B$1768,2,0)</f>
        <v>187.09</v>
      </c>
      <c r="C56">
        <f t="shared" si="0"/>
        <v>1.1297297297297337E-2</v>
      </c>
      <c r="D56" s="1" t="str">
        <f t="shared" ca="1" si="1"/>
        <v>=B56/B55-1</v>
      </c>
      <c r="E56" s="8">
        <f>VLOOKUP(A56,'[1]S&amp;P500_DAILY'!$A$8:$B$1768,2,0)</f>
        <v>2724.01</v>
      </c>
      <c r="F56" s="1">
        <f t="shared" si="2"/>
        <v>1.269582803565994E-2</v>
      </c>
      <c r="G56" s="1" t="str">
        <f t="shared" ca="1" si="3"/>
        <v>=E56/E55-1</v>
      </c>
    </row>
    <row r="57" spans="1:7">
      <c r="A57" s="14">
        <v>43251</v>
      </c>
      <c r="B57" s="11">
        <f>VLOOKUP(A57,[1]HD_price_daily!$A$8:$B$1768,2,0)</f>
        <v>186.55</v>
      </c>
      <c r="C57">
        <f t="shared" si="0"/>
        <v>-2.8863114009299862E-3</v>
      </c>
      <c r="D57" s="1" t="str">
        <f t="shared" ca="1" si="1"/>
        <v>=B57/B56-1</v>
      </c>
      <c r="E57" s="8">
        <f>VLOOKUP(A57,'[1]S&amp;P500_DAILY'!$A$8:$B$1768,2,0)</f>
        <v>2705.27</v>
      </c>
      <c r="F57" s="1">
        <f t="shared" si="2"/>
        <v>-6.8795635845684266E-3</v>
      </c>
      <c r="G57" s="1" t="str">
        <f t="shared" ca="1" si="3"/>
        <v>=E57/E56-1</v>
      </c>
    </row>
    <row r="58" spans="1:7">
      <c r="A58" s="14">
        <v>43252</v>
      </c>
      <c r="B58" s="11">
        <f>VLOOKUP(A58,[1]HD_price_daily!$A$8:$B$1768,2,0)</f>
        <v>187.35</v>
      </c>
      <c r="C58">
        <f t="shared" si="0"/>
        <v>4.2883945322969019E-3</v>
      </c>
      <c r="D58" s="1" t="str">
        <f t="shared" ca="1" si="1"/>
        <v>=B58/B57-1</v>
      </c>
      <c r="E58" s="8">
        <f>VLOOKUP(A58,'[1]S&amp;P500_DAILY'!$A$8:$B$1768,2,0)</f>
        <v>2734.62</v>
      </c>
      <c r="F58" s="1">
        <f t="shared" si="2"/>
        <v>1.0849194350286639E-2</v>
      </c>
      <c r="G58" s="1" t="str">
        <f t="shared" ca="1" si="3"/>
        <v>=E58/E57-1</v>
      </c>
    </row>
    <row r="59" spans="1:7">
      <c r="A59" s="14">
        <v>43255</v>
      </c>
      <c r="B59" s="11">
        <f>VLOOKUP(A59,[1]HD_price_daily!$A$8:$B$1768,2,0)</f>
        <v>191.36</v>
      </c>
      <c r="C59">
        <f t="shared" si="0"/>
        <v>2.1403789698425602E-2</v>
      </c>
      <c r="D59" s="1" t="str">
        <f t="shared" ca="1" si="1"/>
        <v>=B59/B58-1</v>
      </c>
      <c r="E59" s="8">
        <f>VLOOKUP(A59,'[1]S&amp;P500_DAILY'!$A$8:$B$1768,2,0)</f>
        <v>2746.87</v>
      </c>
      <c r="F59" s="1">
        <f t="shared" si="2"/>
        <v>4.4795986279628774E-3</v>
      </c>
      <c r="G59" s="1" t="str">
        <f t="shared" ca="1" si="3"/>
        <v>=E59/E58-1</v>
      </c>
    </row>
    <row r="60" spans="1:7">
      <c r="A60" s="14">
        <v>43256</v>
      </c>
      <c r="B60" s="11">
        <f>VLOOKUP(A60,[1]HD_price_daily!$A$8:$B$1768,2,0)</f>
        <v>191.94</v>
      </c>
      <c r="C60">
        <f t="shared" si="0"/>
        <v>3.030936454849309E-3</v>
      </c>
      <c r="D60" s="1" t="str">
        <f t="shared" ca="1" si="1"/>
        <v>=B60/B59-1</v>
      </c>
      <c r="E60" s="8">
        <f>VLOOKUP(A60,'[1]S&amp;P500_DAILY'!$A$8:$B$1768,2,0)</f>
        <v>2748.8</v>
      </c>
      <c r="F60" s="1">
        <f t="shared" si="2"/>
        <v>7.0261788872438835E-4</v>
      </c>
      <c r="G60" s="1" t="str">
        <f t="shared" ca="1" si="3"/>
        <v>=E60/E59-1</v>
      </c>
    </row>
    <row r="61" spans="1:7">
      <c r="A61" s="14">
        <v>43257</v>
      </c>
      <c r="B61" s="11">
        <f>VLOOKUP(A61,[1]HD_price_daily!$A$8:$B$1768,2,0)</f>
        <v>193.59</v>
      </c>
      <c r="C61">
        <f t="shared" si="0"/>
        <v>8.5964363863708648E-3</v>
      </c>
      <c r="D61" s="1" t="str">
        <f t="shared" ca="1" si="1"/>
        <v>=B61/B60-1</v>
      </c>
      <c r="E61" s="8">
        <f>VLOOKUP(A61,'[1]S&amp;P500_DAILY'!$A$8:$B$1768,2,0)</f>
        <v>2772.35</v>
      </c>
      <c r="F61" s="1">
        <f t="shared" si="2"/>
        <v>8.5673748544818906E-3</v>
      </c>
      <c r="G61" s="1" t="str">
        <f t="shared" ca="1" si="3"/>
        <v>=E61/E60-1</v>
      </c>
    </row>
    <row r="62" spans="1:7">
      <c r="A62" s="14">
        <v>43258</v>
      </c>
      <c r="B62" s="11">
        <f>VLOOKUP(A62,[1]HD_price_daily!$A$8:$B$1768,2,0)</f>
        <v>196.17</v>
      </c>
      <c r="C62">
        <f t="shared" si="0"/>
        <v>1.3327134666046625E-2</v>
      </c>
      <c r="D62" s="1" t="str">
        <f t="shared" ca="1" si="1"/>
        <v>=B62/B61-1</v>
      </c>
      <c r="E62" s="8">
        <f>VLOOKUP(A62,'[1]S&amp;P500_DAILY'!$A$8:$B$1768,2,0)</f>
        <v>2770.37</v>
      </c>
      <c r="F62" s="1">
        <f t="shared" si="2"/>
        <v>-7.1419553808138581E-4</v>
      </c>
      <c r="G62" s="1" t="str">
        <f t="shared" ca="1" si="3"/>
        <v>=E62/E61-1</v>
      </c>
    </row>
    <row r="63" spans="1:7">
      <c r="A63" s="14">
        <v>43259</v>
      </c>
      <c r="B63" s="11">
        <f>VLOOKUP(A63,[1]HD_price_daily!$A$8:$B$1768,2,0)</f>
        <v>198.33</v>
      </c>
      <c r="C63">
        <f t="shared" si="0"/>
        <v>1.1010857929347084E-2</v>
      </c>
      <c r="D63" s="1" t="str">
        <f t="shared" ca="1" si="1"/>
        <v>=B63/B62-1</v>
      </c>
      <c r="E63" s="8">
        <f>VLOOKUP(A63,'[1]S&amp;P500_DAILY'!$A$8:$B$1768,2,0)</f>
        <v>2779.03</v>
      </c>
      <c r="F63" s="1">
        <f t="shared" si="2"/>
        <v>3.1259362467830343E-3</v>
      </c>
      <c r="G63" s="1" t="str">
        <f t="shared" ca="1" si="3"/>
        <v>=E63/E62-1</v>
      </c>
    </row>
    <row r="64" spans="1:7">
      <c r="A64" s="14">
        <v>43262</v>
      </c>
      <c r="B64" s="11">
        <f>VLOOKUP(A64,[1]HD_price_daily!$A$8:$B$1768,2,0)</f>
        <v>199.64</v>
      </c>
      <c r="C64">
        <f t="shared" si="0"/>
        <v>6.6051530277817516E-3</v>
      </c>
      <c r="D64" s="1" t="str">
        <f t="shared" ca="1" si="1"/>
        <v>=B64/B63-1</v>
      </c>
      <c r="E64" s="8">
        <f>VLOOKUP(A64,'[1]S&amp;P500_DAILY'!$A$8:$B$1768,2,0)</f>
        <v>2782</v>
      </c>
      <c r="F64" s="1">
        <f t="shared" si="2"/>
        <v>1.0687182218256375E-3</v>
      </c>
      <c r="G64" s="1" t="str">
        <f t="shared" ca="1" si="3"/>
        <v>=E64/E63-1</v>
      </c>
    </row>
    <row r="65" spans="1:7">
      <c r="A65" s="14">
        <v>43263</v>
      </c>
      <c r="B65" s="11">
        <f>VLOOKUP(A65,[1]HD_price_daily!$A$8:$B$1768,2,0)</f>
        <v>201.31</v>
      </c>
      <c r="C65">
        <f t="shared" si="0"/>
        <v>8.3650571027851228E-3</v>
      </c>
      <c r="D65" s="1" t="str">
        <f t="shared" ca="1" si="1"/>
        <v>=B65/B64-1</v>
      </c>
      <c r="E65" s="8">
        <f>VLOOKUP(A65,'[1]S&amp;P500_DAILY'!$A$8:$B$1768,2,0)</f>
        <v>2786.85</v>
      </c>
      <c r="F65" s="1">
        <f t="shared" si="2"/>
        <v>1.7433501078361058E-3</v>
      </c>
      <c r="G65" s="1" t="str">
        <f t="shared" ca="1" si="3"/>
        <v>=E65/E64-1</v>
      </c>
    </row>
    <row r="66" spans="1:7">
      <c r="A66" s="14">
        <v>43264</v>
      </c>
      <c r="B66" s="11">
        <f>VLOOKUP(A66,[1]HD_price_daily!$A$8:$B$1768,2,0)</f>
        <v>200.31</v>
      </c>
      <c r="C66">
        <f t="shared" si="0"/>
        <v>-4.967463116586357E-3</v>
      </c>
      <c r="D66" s="1" t="str">
        <f t="shared" ca="1" si="1"/>
        <v>=B66/B65-1</v>
      </c>
      <c r="E66" s="8">
        <f>VLOOKUP(A66,'[1]S&amp;P500_DAILY'!$A$8:$B$1768,2,0)</f>
        <v>2775.63</v>
      </c>
      <c r="F66" s="1">
        <f t="shared" si="2"/>
        <v>-4.0260509177026949E-3</v>
      </c>
      <c r="G66" s="1" t="str">
        <f t="shared" ca="1" si="3"/>
        <v>=E66/E65-1</v>
      </c>
    </row>
    <row r="67" spans="1:7">
      <c r="A67" s="14">
        <v>43265</v>
      </c>
      <c r="B67" s="11">
        <f>VLOOKUP(A67,[1]HD_price_daily!$A$8:$B$1768,2,0)</f>
        <v>199.67</v>
      </c>
      <c r="C67">
        <f t="shared" si="0"/>
        <v>-3.1950476761021251E-3</v>
      </c>
      <c r="D67" s="1" t="str">
        <f t="shared" ca="1" si="1"/>
        <v>=B67/B66-1</v>
      </c>
      <c r="E67" s="8">
        <f>VLOOKUP(A67,'[1]S&amp;P500_DAILY'!$A$8:$B$1768,2,0)</f>
        <v>2782.49</v>
      </c>
      <c r="F67" s="1">
        <f t="shared" si="2"/>
        <v>2.4715109722837081E-3</v>
      </c>
      <c r="G67" s="1" t="str">
        <f t="shared" ca="1" si="3"/>
        <v>=E67/E66-1</v>
      </c>
    </row>
    <row r="68" spans="1:7">
      <c r="A68" s="14">
        <v>43266</v>
      </c>
      <c r="B68" s="11">
        <f>VLOOKUP(A68,[1]HD_price_daily!$A$8:$B$1768,2,0)</f>
        <v>200.54</v>
      </c>
      <c r="C68">
        <f t="shared" ref="C68:C131" si="4">B68/B67-1</f>
        <v>4.3571893624481106E-3</v>
      </c>
      <c r="D68" s="1" t="str">
        <f t="shared" ref="D68:D131" ca="1" si="5">_xlfn.FORMULATEXT(C68)</f>
        <v>=B68/B67-1</v>
      </c>
      <c r="E68" s="8">
        <f>VLOOKUP(A68,'[1]S&amp;P500_DAILY'!$A$8:$B$1768,2,0)</f>
        <v>2779.66</v>
      </c>
      <c r="F68" s="1">
        <f t="shared" ref="F68:F131" si="6">E68/E67-1</f>
        <v>-1.0170746345898873E-3</v>
      </c>
      <c r="G68" s="1" t="str">
        <f t="shared" ref="G68:G131" ca="1" si="7">_xlfn.FORMULATEXT(F68)</f>
        <v>=E68/E67-1</v>
      </c>
    </row>
    <row r="69" spans="1:7">
      <c r="A69" s="14">
        <v>43269</v>
      </c>
      <c r="B69" s="11">
        <f>VLOOKUP(A69,[1]HD_price_daily!$A$8:$B$1768,2,0)</f>
        <v>200.69</v>
      </c>
      <c r="C69">
        <f t="shared" si="4"/>
        <v>7.4798045277746361E-4</v>
      </c>
      <c r="D69" s="1" t="str">
        <f t="shared" ca="1" si="5"/>
        <v>=B69/B68-1</v>
      </c>
      <c r="E69" s="8">
        <f>VLOOKUP(A69,'[1]S&amp;P500_DAILY'!$A$8:$B$1768,2,0)</f>
        <v>2773.75</v>
      </c>
      <c r="F69" s="1">
        <f t="shared" si="6"/>
        <v>-2.1261593144484836E-3</v>
      </c>
      <c r="G69" s="1" t="str">
        <f t="shared" ca="1" si="7"/>
        <v>=E69/E68-1</v>
      </c>
    </row>
    <row r="70" spans="1:7">
      <c r="A70" s="14">
        <v>43270</v>
      </c>
      <c r="B70" s="11">
        <f>VLOOKUP(A70,[1]HD_price_daily!$A$8:$B$1768,2,0)</f>
        <v>199.21</v>
      </c>
      <c r="C70">
        <f t="shared" si="4"/>
        <v>-7.3745577756738623E-3</v>
      </c>
      <c r="D70" s="1" t="str">
        <f t="shared" ca="1" si="5"/>
        <v>=B70/B69-1</v>
      </c>
      <c r="E70" s="8">
        <f>VLOOKUP(A70,'[1]S&amp;P500_DAILY'!$A$8:$B$1768,2,0)</f>
        <v>2762.59</v>
      </c>
      <c r="F70" s="1">
        <f t="shared" si="6"/>
        <v>-4.0234339792698526E-3</v>
      </c>
      <c r="G70" s="1" t="str">
        <f t="shared" ca="1" si="7"/>
        <v>=E70/E69-1</v>
      </c>
    </row>
    <row r="71" spans="1:7">
      <c r="A71" s="14">
        <v>43271</v>
      </c>
      <c r="B71" s="11">
        <f>VLOOKUP(A71,[1]HD_price_daily!$A$8:$B$1768,2,0)</f>
        <v>199.08</v>
      </c>
      <c r="C71">
        <f t="shared" si="4"/>
        <v>-6.5257768184323606E-4</v>
      </c>
      <c r="D71" s="1" t="str">
        <f t="shared" ca="1" si="5"/>
        <v>=B71/B70-1</v>
      </c>
      <c r="E71" s="8">
        <f>VLOOKUP(A71,'[1]S&amp;P500_DAILY'!$A$8:$B$1768,2,0)</f>
        <v>2767.32</v>
      </c>
      <c r="F71" s="1">
        <f t="shared" si="6"/>
        <v>1.7121614137458607E-3</v>
      </c>
      <c r="G71" s="1" t="str">
        <f t="shared" ca="1" si="7"/>
        <v>=E71/E70-1</v>
      </c>
    </row>
    <row r="72" spans="1:7">
      <c r="A72" s="14">
        <v>43272</v>
      </c>
      <c r="B72" s="11">
        <f>VLOOKUP(A72,[1]HD_price_daily!$A$8:$B$1768,2,0)</f>
        <v>200.31</v>
      </c>
      <c r="C72">
        <f t="shared" si="4"/>
        <v>6.1784207353827725E-3</v>
      </c>
      <c r="D72" s="1" t="str">
        <f t="shared" ca="1" si="5"/>
        <v>=B72/B71-1</v>
      </c>
      <c r="E72" s="8">
        <f>VLOOKUP(A72,'[1]S&amp;P500_DAILY'!$A$8:$B$1768,2,0)</f>
        <v>2749.76</v>
      </c>
      <c r="F72" s="1">
        <f t="shared" si="6"/>
        <v>-6.3454894988652644E-3</v>
      </c>
      <c r="G72" s="1" t="str">
        <f t="shared" ca="1" si="7"/>
        <v>=E72/E71-1</v>
      </c>
    </row>
    <row r="73" spans="1:7">
      <c r="A73" s="14">
        <v>43273</v>
      </c>
      <c r="B73" s="11">
        <f>VLOOKUP(A73,[1]HD_price_daily!$A$8:$B$1768,2,0)</f>
        <v>197.41</v>
      </c>
      <c r="C73">
        <f t="shared" si="4"/>
        <v>-1.4477559782337446E-2</v>
      </c>
      <c r="D73" s="1" t="str">
        <f t="shared" ca="1" si="5"/>
        <v>=B73/B72-1</v>
      </c>
      <c r="E73" s="8">
        <f>VLOOKUP(A73,'[1]S&amp;P500_DAILY'!$A$8:$B$1768,2,0)</f>
        <v>2754.88</v>
      </c>
      <c r="F73" s="1">
        <f t="shared" si="6"/>
        <v>1.8619806819504259E-3</v>
      </c>
      <c r="G73" s="1" t="str">
        <f t="shared" ca="1" si="7"/>
        <v>=E73/E72-1</v>
      </c>
    </row>
    <row r="74" spans="1:7">
      <c r="A74" s="14">
        <v>43276</v>
      </c>
      <c r="B74" s="11">
        <f>VLOOKUP(A74,[1]HD_price_daily!$A$8:$B$1768,2,0)</f>
        <v>196.38</v>
      </c>
      <c r="C74">
        <f t="shared" si="4"/>
        <v>-5.2175674991135068E-3</v>
      </c>
      <c r="D74" s="1" t="str">
        <f t="shared" ca="1" si="5"/>
        <v>=B74/B73-1</v>
      </c>
      <c r="E74" s="8">
        <f>VLOOKUP(A74,'[1]S&amp;P500_DAILY'!$A$8:$B$1768,2,0)</f>
        <v>2717.07</v>
      </c>
      <c r="F74" s="1">
        <f t="shared" si="6"/>
        <v>-1.3724735741665661E-2</v>
      </c>
      <c r="G74" s="1" t="str">
        <f t="shared" ca="1" si="7"/>
        <v>=E74/E73-1</v>
      </c>
    </row>
    <row r="75" spans="1:7">
      <c r="A75" s="14">
        <v>43277</v>
      </c>
      <c r="B75" s="11">
        <f>VLOOKUP(A75,[1]HD_price_daily!$A$8:$B$1768,2,0)</f>
        <v>196.36</v>
      </c>
      <c r="C75">
        <f t="shared" si="4"/>
        <v>-1.0184336490470791E-4</v>
      </c>
      <c r="D75" s="1" t="str">
        <f t="shared" ca="1" si="5"/>
        <v>=B75/B74-1</v>
      </c>
      <c r="E75" s="8">
        <f>VLOOKUP(A75,'[1]S&amp;P500_DAILY'!$A$8:$B$1768,2,0)</f>
        <v>2723.06</v>
      </c>
      <c r="F75" s="1">
        <f t="shared" si="6"/>
        <v>2.2045806696182613E-3</v>
      </c>
      <c r="G75" s="1" t="str">
        <f t="shared" ca="1" si="7"/>
        <v>=E75/E74-1</v>
      </c>
    </row>
    <row r="76" spans="1:7">
      <c r="A76" s="14">
        <v>43278</v>
      </c>
      <c r="B76" s="11">
        <f>VLOOKUP(A76,[1]HD_price_daily!$A$8:$B$1768,2,0)</f>
        <v>195.02</v>
      </c>
      <c r="C76">
        <f t="shared" si="4"/>
        <v>-6.8242004481564589E-3</v>
      </c>
      <c r="D76" s="1" t="str">
        <f t="shared" ca="1" si="5"/>
        <v>=B76/B75-1</v>
      </c>
      <c r="E76" s="8">
        <f>VLOOKUP(A76,'[1]S&amp;P500_DAILY'!$A$8:$B$1768,2,0)</f>
        <v>2699.63</v>
      </c>
      <c r="F76" s="1">
        <f t="shared" si="6"/>
        <v>-8.6042907611290076E-3</v>
      </c>
      <c r="G76" s="1" t="str">
        <f t="shared" ca="1" si="7"/>
        <v>=E76/E75-1</v>
      </c>
    </row>
    <row r="77" spans="1:7">
      <c r="A77" s="14">
        <v>43279</v>
      </c>
      <c r="B77" s="11">
        <f>VLOOKUP(A77,[1]HD_price_daily!$A$8:$B$1768,2,0)</f>
        <v>195.21</v>
      </c>
      <c r="C77">
        <f t="shared" si="4"/>
        <v>9.7425905035386506E-4</v>
      </c>
      <c r="D77" s="1" t="str">
        <f t="shared" ca="1" si="5"/>
        <v>=B77/B76-1</v>
      </c>
      <c r="E77" s="8">
        <f>VLOOKUP(A77,'[1]S&amp;P500_DAILY'!$A$8:$B$1768,2,0)</f>
        <v>2716.31</v>
      </c>
      <c r="F77" s="1">
        <f t="shared" si="6"/>
        <v>6.1786244781691924E-3</v>
      </c>
      <c r="G77" s="1" t="str">
        <f t="shared" ca="1" si="7"/>
        <v>=E77/E76-1</v>
      </c>
    </row>
    <row r="78" spans="1:7">
      <c r="A78" s="14">
        <v>43280</v>
      </c>
      <c r="B78" s="11">
        <f>VLOOKUP(A78,[1]HD_price_daily!$A$8:$B$1768,2,0)</f>
        <v>195.1</v>
      </c>
      <c r="C78">
        <f t="shared" si="4"/>
        <v>-5.6349572255531832E-4</v>
      </c>
      <c r="D78" s="1" t="str">
        <f t="shared" ca="1" si="5"/>
        <v>=B78/B77-1</v>
      </c>
      <c r="E78" s="8">
        <f>VLOOKUP(A78,'[1]S&amp;P500_DAILY'!$A$8:$B$1768,2,0)</f>
        <v>2718.37</v>
      </c>
      <c r="F78" s="1">
        <f t="shared" si="6"/>
        <v>7.5838177527609574E-4</v>
      </c>
      <c r="G78" s="1" t="str">
        <f t="shared" ca="1" si="7"/>
        <v>=E78/E77-1</v>
      </c>
    </row>
    <row r="79" spans="1:7">
      <c r="A79" s="14">
        <v>43283</v>
      </c>
      <c r="B79" s="11">
        <f>VLOOKUP(A79,[1]HD_price_daily!$A$8:$B$1768,2,0)</f>
        <v>194.02</v>
      </c>
      <c r="C79">
        <f t="shared" si="4"/>
        <v>-5.5356227575601435E-3</v>
      </c>
      <c r="D79" s="1" t="str">
        <f t="shared" ca="1" si="5"/>
        <v>=B79/B78-1</v>
      </c>
      <c r="E79" s="8">
        <f>VLOOKUP(A79,'[1]S&amp;P500_DAILY'!$A$8:$B$1768,2,0)</f>
        <v>2726.71</v>
      </c>
      <c r="F79" s="1">
        <f t="shared" si="6"/>
        <v>3.0680150237090142E-3</v>
      </c>
      <c r="G79" s="1" t="str">
        <f t="shared" ca="1" si="7"/>
        <v>=E79/E78-1</v>
      </c>
    </row>
    <row r="80" spans="1:7">
      <c r="A80" s="14">
        <v>43284</v>
      </c>
      <c r="B80" s="11">
        <f>VLOOKUP(A80,[1]HD_price_daily!$A$8:$B$1768,2,0)</f>
        <v>193.62</v>
      </c>
      <c r="C80">
        <f t="shared" si="4"/>
        <v>-2.0616431295743531E-3</v>
      </c>
      <c r="D80" s="1" t="str">
        <f t="shared" ca="1" si="5"/>
        <v>=B80/B79-1</v>
      </c>
      <c r="E80" s="8">
        <f>VLOOKUP(A80,'[1]S&amp;P500_DAILY'!$A$8:$B$1768,2,0)</f>
        <v>2713.22</v>
      </c>
      <c r="F80" s="1">
        <f t="shared" si="6"/>
        <v>-4.9473541374037699E-3</v>
      </c>
      <c r="G80" s="1" t="str">
        <f t="shared" ca="1" si="7"/>
        <v>=E80/E79-1</v>
      </c>
    </row>
    <row r="81" spans="1:7">
      <c r="A81" s="14">
        <v>43286</v>
      </c>
      <c r="B81" s="11">
        <f>VLOOKUP(A81,[1]HD_price_daily!$A$8:$B$1768,2,0)</f>
        <v>194.41</v>
      </c>
      <c r="C81">
        <f t="shared" si="4"/>
        <v>4.0801570085735595E-3</v>
      </c>
      <c r="D81" s="1" t="str">
        <f t="shared" ca="1" si="5"/>
        <v>=B81/B80-1</v>
      </c>
      <c r="E81" s="8">
        <f>VLOOKUP(A81,'[1]S&amp;P500_DAILY'!$A$8:$B$1768,2,0)</f>
        <v>2736.61</v>
      </c>
      <c r="F81" s="1">
        <f t="shared" si="6"/>
        <v>8.6207532009938692E-3</v>
      </c>
      <c r="G81" s="1" t="str">
        <f t="shared" ca="1" si="7"/>
        <v>=E81/E80-1</v>
      </c>
    </row>
    <row r="82" spans="1:7">
      <c r="A82" s="14">
        <v>43287</v>
      </c>
      <c r="B82" s="11">
        <f>VLOOKUP(A82,[1]HD_price_daily!$A$8:$B$1768,2,0)</f>
        <v>194.48</v>
      </c>
      <c r="C82">
        <f t="shared" si="4"/>
        <v>3.6006378272723794E-4</v>
      </c>
      <c r="D82" s="1" t="str">
        <f t="shared" ca="1" si="5"/>
        <v>=B82/B81-1</v>
      </c>
      <c r="E82" s="8">
        <f>VLOOKUP(A82,'[1]S&amp;P500_DAILY'!$A$8:$B$1768,2,0)</f>
        <v>2759.82</v>
      </c>
      <c r="F82" s="1">
        <f t="shared" si="6"/>
        <v>8.4812962022355887E-3</v>
      </c>
      <c r="G82" s="1" t="str">
        <f t="shared" ca="1" si="7"/>
        <v>=E82/E81-1</v>
      </c>
    </row>
    <row r="83" spans="1:7">
      <c r="A83" s="14">
        <v>43290</v>
      </c>
      <c r="B83" s="11">
        <f>VLOOKUP(A83,[1]HD_price_daily!$A$8:$B$1768,2,0)</f>
        <v>196.08</v>
      </c>
      <c r="C83">
        <f t="shared" si="4"/>
        <v>8.2270670505966148E-3</v>
      </c>
      <c r="D83" s="1" t="str">
        <f t="shared" ca="1" si="5"/>
        <v>=B83/B82-1</v>
      </c>
      <c r="E83" s="8">
        <f>VLOOKUP(A83,'[1]S&amp;P500_DAILY'!$A$8:$B$1768,2,0)</f>
        <v>2784.17</v>
      </c>
      <c r="F83" s="1">
        <f t="shared" si="6"/>
        <v>8.8230391837147426E-3</v>
      </c>
      <c r="G83" s="1" t="str">
        <f t="shared" ca="1" si="7"/>
        <v>=E83/E82-1</v>
      </c>
    </row>
    <row r="84" spans="1:7">
      <c r="A84" s="14">
        <v>43291</v>
      </c>
      <c r="B84" s="11">
        <f>VLOOKUP(A84,[1]HD_price_daily!$A$8:$B$1768,2,0)</f>
        <v>197.61</v>
      </c>
      <c r="C84">
        <f t="shared" si="4"/>
        <v>7.8029375764994136E-3</v>
      </c>
      <c r="D84" s="1" t="str">
        <f t="shared" ca="1" si="5"/>
        <v>=B84/B83-1</v>
      </c>
      <c r="E84" s="8">
        <f>VLOOKUP(A84,'[1]S&amp;P500_DAILY'!$A$8:$B$1768,2,0)</f>
        <v>2793.84</v>
      </c>
      <c r="F84" s="1">
        <f t="shared" si="6"/>
        <v>3.4732074550045677E-3</v>
      </c>
      <c r="G84" s="1" t="str">
        <f t="shared" ca="1" si="7"/>
        <v>=E84/E83-1</v>
      </c>
    </row>
    <row r="85" spans="1:7">
      <c r="A85" s="14">
        <v>43292</v>
      </c>
      <c r="B85" s="11">
        <f>VLOOKUP(A85,[1]HD_price_daily!$A$8:$B$1768,2,0)</f>
        <v>196.95</v>
      </c>
      <c r="C85">
        <f t="shared" si="4"/>
        <v>-3.339911947776053E-3</v>
      </c>
      <c r="D85" s="1" t="str">
        <f t="shared" ca="1" si="5"/>
        <v>=B85/B84-1</v>
      </c>
      <c r="E85" s="8">
        <f>VLOOKUP(A85,'[1]S&amp;P500_DAILY'!$A$8:$B$1768,2,0)</f>
        <v>2774.02</v>
      </c>
      <c r="F85" s="1">
        <f t="shared" si="6"/>
        <v>-7.0941786215388269E-3</v>
      </c>
      <c r="G85" s="1" t="str">
        <f t="shared" ca="1" si="7"/>
        <v>=E85/E84-1</v>
      </c>
    </row>
    <row r="86" spans="1:7">
      <c r="A86" s="14">
        <v>43293</v>
      </c>
      <c r="B86" s="11">
        <f>VLOOKUP(A86,[1]HD_price_daily!$A$8:$B$1768,2,0)</f>
        <v>197.95</v>
      </c>
      <c r="C86">
        <f t="shared" si="4"/>
        <v>5.0774308200050022E-3</v>
      </c>
      <c r="D86" s="1" t="str">
        <f t="shared" ca="1" si="5"/>
        <v>=B86/B85-1</v>
      </c>
      <c r="E86" s="8">
        <f>VLOOKUP(A86,'[1]S&amp;P500_DAILY'!$A$8:$B$1768,2,0)</f>
        <v>2798.29</v>
      </c>
      <c r="F86" s="1">
        <f t="shared" si="6"/>
        <v>8.7490356954889048E-3</v>
      </c>
      <c r="G86" s="1" t="str">
        <f t="shared" ca="1" si="7"/>
        <v>=E86/E85-1</v>
      </c>
    </row>
    <row r="87" spans="1:7">
      <c r="A87" s="14">
        <v>43294</v>
      </c>
      <c r="B87" s="11">
        <f>VLOOKUP(A87,[1]HD_price_daily!$A$8:$B$1768,2,0)</f>
        <v>198.69</v>
      </c>
      <c r="C87">
        <f t="shared" si="4"/>
        <v>3.7383177570093906E-3</v>
      </c>
      <c r="D87" s="1" t="str">
        <f t="shared" ca="1" si="5"/>
        <v>=B87/B86-1</v>
      </c>
      <c r="E87" s="8">
        <f>VLOOKUP(A87,'[1]S&amp;P500_DAILY'!$A$8:$B$1768,2,0)</f>
        <v>2801.31</v>
      </c>
      <c r="F87" s="1">
        <f t="shared" si="6"/>
        <v>1.0792305300737493E-3</v>
      </c>
      <c r="G87" s="1" t="str">
        <f t="shared" ca="1" si="7"/>
        <v>=E87/E86-1</v>
      </c>
    </row>
    <row r="88" spans="1:7">
      <c r="A88" s="14">
        <v>43297</v>
      </c>
      <c r="B88" s="11">
        <f>VLOOKUP(A88,[1]HD_price_daily!$A$8:$B$1768,2,0)</f>
        <v>198.88</v>
      </c>
      <c r="C88">
        <f t="shared" si="4"/>
        <v>9.5626352609601284E-4</v>
      </c>
      <c r="D88" s="1" t="str">
        <f t="shared" ca="1" si="5"/>
        <v>=B88/B87-1</v>
      </c>
      <c r="E88" s="8">
        <f>VLOOKUP(A88,'[1]S&amp;P500_DAILY'!$A$8:$B$1768,2,0)</f>
        <v>2798.43</v>
      </c>
      <c r="F88" s="1">
        <f t="shared" si="6"/>
        <v>-1.028090429120665E-3</v>
      </c>
      <c r="G88" s="1" t="str">
        <f t="shared" ca="1" si="7"/>
        <v>=E88/E87-1</v>
      </c>
    </row>
    <row r="89" spans="1:7">
      <c r="A89" s="14">
        <v>43298</v>
      </c>
      <c r="B89" s="11">
        <f>VLOOKUP(A89,[1]HD_price_daily!$A$8:$B$1768,2,0)</f>
        <v>201.1</v>
      </c>
      <c r="C89">
        <f t="shared" si="4"/>
        <v>1.11625100563153E-2</v>
      </c>
      <c r="D89" s="1" t="str">
        <f t="shared" ca="1" si="5"/>
        <v>=B89/B88-1</v>
      </c>
      <c r="E89" s="8">
        <f>VLOOKUP(A89,'[1]S&amp;P500_DAILY'!$A$8:$B$1768,2,0)</f>
        <v>2809.55</v>
      </c>
      <c r="F89" s="1">
        <f t="shared" si="6"/>
        <v>3.9736566574830601E-3</v>
      </c>
      <c r="G89" s="1" t="str">
        <f t="shared" ca="1" si="7"/>
        <v>=E89/E88-1</v>
      </c>
    </row>
    <row r="90" spans="1:7">
      <c r="A90" s="14">
        <v>43299</v>
      </c>
      <c r="B90" s="11">
        <f>VLOOKUP(A90,[1]HD_price_daily!$A$8:$B$1768,2,0)</f>
        <v>200.97</v>
      </c>
      <c r="C90">
        <f t="shared" si="4"/>
        <v>-6.4644455494777819E-4</v>
      </c>
      <c r="D90" s="1" t="str">
        <f t="shared" ca="1" si="5"/>
        <v>=B90/B89-1</v>
      </c>
      <c r="E90" s="8">
        <f>VLOOKUP(A90,'[1]S&amp;P500_DAILY'!$A$8:$B$1768,2,0)</f>
        <v>2815.62</v>
      </c>
      <c r="F90" s="1">
        <f t="shared" si="6"/>
        <v>2.1604883344306103E-3</v>
      </c>
      <c r="G90" s="1" t="str">
        <f t="shared" ca="1" si="7"/>
        <v>=E90/E89-1</v>
      </c>
    </row>
    <row r="91" spans="1:7">
      <c r="A91" s="14">
        <v>43300</v>
      </c>
      <c r="B91" s="11">
        <f>VLOOKUP(A91,[1]HD_price_daily!$A$8:$B$1768,2,0)</f>
        <v>202.63</v>
      </c>
      <c r="C91">
        <f t="shared" si="4"/>
        <v>8.2599392944220362E-3</v>
      </c>
      <c r="D91" s="1" t="str">
        <f t="shared" ca="1" si="5"/>
        <v>=B91/B90-1</v>
      </c>
      <c r="E91" s="8">
        <f>VLOOKUP(A91,'[1]S&amp;P500_DAILY'!$A$8:$B$1768,2,0)</f>
        <v>2804.49</v>
      </c>
      <c r="F91" s="1">
        <f t="shared" si="6"/>
        <v>-3.9529481961344537E-3</v>
      </c>
      <c r="G91" s="1" t="str">
        <f t="shared" ca="1" si="7"/>
        <v>=E91/E90-1</v>
      </c>
    </row>
    <row r="92" spans="1:7">
      <c r="A92" s="14">
        <v>43301</v>
      </c>
      <c r="B92" s="11">
        <f>VLOOKUP(A92,[1]HD_price_daily!$A$8:$B$1768,2,0)</f>
        <v>202.45</v>
      </c>
      <c r="C92">
        <f t="shared" si="4"/>
        <v>-8.8831861027494075E-4</v>
      </c>
      <c r="D92" s="1" t="str">
        <f t="shared" ca="1" si="5"/>
        <v>=B92/B91-1</v>
      </c>
      <c r="E92" s="8">
        <f>VLOOKUP(A92,'[1]S&amp;P500_DAILY'!$A$8:$B$1768,2,0)</f>
        <v>2801.83</v>
      </c>
      <c r="F92" s="1">
        <f t="shared" si="6"/>
        <v>-9.4847904610106948E-4</v>
      </c>
      <c r="G92" s="1" t="str">
        <f t="shared" ca="1" si="7"/>
        <v>=E92/E91-1</v>
      </c>
    </row>
    <row r="93" spans="1:7">
      <c r="A93" s="14">
        <v>43304</v>
      </c>
      <c r="B93" s="11">
        <f>VLOOKUP(A93,[1]HD_price_daily!$A$8:$B$1768,2,0)</f>
        <v>202.23</v>
      </c>
      <c r="C93">
        <f t="shared" si="4"/>
        <v>-1.0866880711286608E-3</v>
      </c>
      <c r="D93" s="1" t="str">
        <f t="shared" ca="1" si="5"/>
        <v>=B93/B92-1</v>
      </c>
      <c r="E93" s="8">
        <f>VLOOKUP(A93,'[1]S&amp;P500_DAILY'!$A$8:$B$1768,2,0)</f>
        <v>2806.98</v>
      </c>
      <c r="F93" s="1">
        <f t="shared" si="6"/>
        <v>1.83808439484201E-3</v>
      </c>
      <c r="G93" s="1" t="str">
        <f t="shared" ca="1" si="7"/>
        <v>=E93/E92-1</v>
      </c>
    </row>
    <row r="94" spans="1:7">
      <c r="A94" s="14">
        <v>43305</v>
      </c>
      <c r="B94" s="11">
        <f>VLOOKUP(A94,[1]HD_price_daily!$A$8:$B$1768,2,0)</f>
        <v>201.99</v>
      </c>
      <c r="C94">
        <f t="shared" si="4"/>
        <v>-1.1867675419076074E-3</v>
      </c>
      <c r="D94" s="1" t="str">
        <f t="shared" ca="1" si="5"/>
        <v>=B94/B93-1</v>
      </c>
      <c r="E94" s="8">
        <f>VLOOKUP(A94,'[1]S&amp;P500_DAILY'!$A$8:$B$1768,2,0)</f>
        <v>2820.4</v>
      </c>
      <c r="F94" s="1">
        <f t="shared" si="6"/>
        <v>4.7809389450583772E-3</v>
      </c>
      <c r="G94" s="1" t="str">
        <f t="shared" ca="1" si="7"/>
        <v>=E94/E93-1</v>
      </c>
    </row>
    <row r="95" spans="1:7">
      <c r="A95" s="14">
        <v>43306</v>
      </c>
      <c r="B95" s="11">
        <f>VLOOKUP(A95,[1]HD_price_daily!$A$8:$B$1768,2,0)</f>
        <v>201</v>
      </c>
      <c r="C95">
        <f t="shared" si="4"/>
        <v>-4.90123273429377E-3</v>
      </c>
      <c r="D95" s="1" t="str">
        <f t="shared" ca="1" si="5"/>
        <v>=B95/B94-1</v>
      </c>
      <c r="E95" s="8">
        <f>VLOOKUP(A95,'[1]S&amp;P500_DAILY'!$A$8:$B$1768,2,0)</f>
        <v>2846.07</v>
      </c>
      <c r="F95" s="1">
        <f t="shared" si="6"/>
        <v>9.1015458800169924E-3</v>
      </c>
      <c r="G95" s="1" t="str">
        <f t="shared" ca="1" si="7"/>
        <v>=E95/E94-1</v>
      </c>
    </row>
    <row r="96" spans="1:7">
      <c r="A96" s="14">
        <v>43307</v>
      </c>
      <c r="B96" s="11">
        <f>VLOOKUP(A96,[1]HD_price_daily!$A$8:$B$1768,2,0)</f>
        <v>199.4</v>
      </c>
      <c r="C96">
        <f t="shared" si="4"/>
        <v>-7.9601990049751326E-3</v>
      </c>
      <c r="D96" s="1" t="str">
        <f t="shared" ca="1" si="5"/>
        <v>=B96/B95-1</v>
      </c>
      <c r="E96" s="8">
        <f>VLOOKUP(A96,'[1]S&amp;P500_DAILY'!$A$8:$B$1768,2,0)</f>
        <v>2837.44</v>
      </c>
      <c r="F96" s="1">
        <f t="shared" si="6"/>
        <v>-3.0322514906520048E-3</v>
      </c>
      <c r="G96" s="1" t="str">
        <f t="shared" ca="1" si="7"/>
        <v>=E96/E95-1</v>
      </c>
    </row>
    <row r="97" spans="1:7">
      <c r="A97" s="14">
        <v>43308</v>
      </c>
      <c r="B97" s="11">
        <f>VLOOKUP(A97,[1]HD_price_daily!$A$8:$B$1768,2,0)</f>
        <v>197.14</v>
      </c>
      <c r="C97">
        <f t="shared" si="4"/>
        <v>-1.1334002006018196E-2</v>
      </c>
      <c r="D97" s="1" t="str">
        <f t="shared" ca="1" si="5"/>
        <v>=B97/B96-1</v>
      </c>
      <c r="E97" s="8">
        <f>VLOOKUP(A97,'[1]S&amp;P500_DAILY'!$A$8:$B$1768,2,0)</f>
        <v>2818.82</v>
      </c>
      <c r="F97" s="1">
        <f t="shared" si="6"/>
        <v>-6.5622532987481552E-3</v>
      </c>
      <c r="G97" s="1" t="str">
        <f t="shared" ca="1" si="7"/>
        <v>=E97/E96-1</v>
      </c>
    </row>
    <row r="98" spans="1:7">
      <c r="A98" s="14">
        <v>43311</v>
      </c>
      <c r="B98" s="11">
        <f>VLOOKUP(A98,[1]HD_price_daily!$A$8:$B$1768,2,0)</f>
        <v>197.28</v>
      </c>
      <c r="C98">
        <f t="shared" si="4"/>
        <v>7.1015521964090667E-4</v>
      </c>
      <c r="D98" s="1" t="str">
        <f t="shared" ca="1" si="5"/>
        <v>=B98/B97-1</v>
      </c>
      <c r="E98" s="8">
        <f>VLOOKUP(A98,'[1]S&amp;P500_DAILY'!$A$8:$B$1768,2,0)</f>
        <v>2802.6</v>
      </c>
      <c r="F98" s="1">
        <f t="shared" si="6"/>
        <v>-5.7541808274385042E-3</v>
      </c>
      <c r="G98" s="1" t="str">
        <f t="shared" ca="1" si="7"/>
        <v>=E98/E97-1</v>
      </c>
    </row>
    <row r="99" spans="1:7">
      <c r="A99" s="14">
        <v>43312</v>
      </c>
      <c r="B99" s="11">
        <f>VLOOKUP(A99,[1]HD_price_daily!$A$8:$B$1768,2,0)</f>
        <v>197.52</v>
      </c>
      <c r="C99">
        <f t="shared" si="4"/>
        <v>1.2165450121655041E-3</v>
      </c>
      <c r="D99" s="1" t="str">
        <f t="shared" ca="1" si="5"/>
        <v>=B99/B98-1</v>
      </c>
      <c r="E99" s="8">
        <f>VLOOKUP(A99,'[1]S&amp;P500_DAILY'!$A$8:$B$1768,2,0)</f>
        <v>2816.29</v>
      </c>
      <c r="F99" s="1">
        <f t="shared" si="6"/>
        <v>4.8847498751158902E-3</v>
      </c>
      <c r="G99" s="1" t="str">
        <f t="shared" ca="1" si="7"/>
        <v>=E99/E98-1</v>
      </c>
    </row>
    <row r="100" spans="1:7">
      <c r="A100" s="14">
        <v>43313</v>
      </c>
      <c r="B100" s="11">
        <f>VLOOKUP(A100,[1]HD_price_daily!$A$8:$B$1768,2,0)</f>
        <v>196.3</v>
      </c>
      <c r="C100">
        <f t="shared" si="4"/>
        <v>-6.1765897124341773E-3</v>
      </c>
      <c r="D100" s="1" t="str">
        <f t="shared" ca="1" si="5"/>
        <v>=B100/B99-1</v>
      </c>
      <c r="E100" s="8">
        <f>VLOOKUP(A100,'[1]S&amp;P500_DAILY'!$A$8:$B$1768,2,0)</f>
        <v>2813.36</v>
      </c>
      <c r="F100" s="1">
        <f t="shared" si="6"/>
        <v>-1.0403758135703045E-3</v>
      </c>
      <c r="G100" s="1" t="str">
        <f t="shared" ca="1" si="7"/>
        <v>=E100/E99-1</v>
      </c>
    </row>
    <row r="101" spans="1:7">
      <c r="A101" s="14">
        <v>43314</v>
      </c>
      <c r="B101" s="11">
        <f>VLOOKUP(A101,[1]HD_price_daily!$A$8:$B$1768,2,0)</f>
        <v>195.66</v>
      </c>
      <c r="C101">
        <f t="shared" si="4"/>
        <v>-3.2603158430973833E-3</v>
      </c>
      <c r="D101" s="1" t="str">
        <f t="shared" ca="1" si="5"/>
        <v>=B101/B100-1</v>
      </c>
      <c r="E101" s="8">
        <f>VLOOKUP(A101,'[1]S&amp;P500_DAILY'!$A$8:$B$1768,2,0)</f>
        <v>2827.22</v>
      </c>
      <c r="F101" s="1">
        <f t="shared" si="6"/>
        <v>4.9264935877384453E-3</v>
      </c>
      <c r="G101" s="1" t="str">
        <f t="shared" ca="1" si="7"/>
        <v>=E101/E100-1</v>
      </c>
    </row>
    <row r="102" spans="1:7">
      <c r="A102" s="14">
        <v>43315</v>
      </c>
      <c r="B102" s="11">
        <f>VLOOKUP(A102,[1]HD_price_daily!$A$8:$B$1768,2,0)</f>
        <v>195.64</v>
      </c>
      <c r="C102">
        <f t="shared" si="4"/>
        <v>-1.022181334969785E-4</v>
      </c>
      <c r="D102" s="1" t="str">
        <f t="shared" ca="1" si="5"/>
        <v>=B102/B101-1</v>
      </c>
      <c r="E102" s="8">
        <f>VLOOKUP(A102,'[1]S&amp;P500_DAILY'!$A$8:$B$1768,2,0)</f>
        <v>2840.35</v>
      </c>
      <c r="F102" s="1">
        <f t="shared" si="6"/>
        <v>4.6441380578801095E-3</v>
      </c>
      <c r="G102" s="1" t="str">
        <f t="shared" ca="1" si="7"/>
        <v>=E102/E101-1</v>
      </c>
    </row>
    <row r="103" spans="1:7">
      <c r="A103" s="14">
        <v>43318</v>
      </c>
      <c r="B103" s="11">
        <f>VLOOKUP(A103,[1]HD_price_daily!$A$8:$B$1768,2,0)</f>
        <v>195.69</v>
      </c>
      <c r="C103">
        <f t="shared" si="4"/>
        <v>2.5557145777965751E-4</v>
      </c>
      <c r="D103" s="1" t="str">
        <f t="shared" ca="1" si="5"/>
        <v>=B103/B102-1</v>
      </c>
      <c r="E103" s="8">
        <f>VLOOKUP(A103,'[1]S&amp;P500_DAILY'!$A$8:$B$1768,2,0)</f>
        <v>2850.4</v>
      </c>
      <c r="F103" s="1">
        <f t="shared" si="6"/>
        <v>3.5382963367192044E-3</v>
      </c>
      <c r="G103" s="1" t="str">
        <f t="shared" ca="1" si="7"/>
        <v>=E103/E102-1</v>
      </c>
    </row>
    <row r="104" spans="1:7">
      <c r="A104" s="14">
        <v>43319</v>
      </c>
      <c r="B104" s="11">
        <f>VLOOKUP(A104,[1]HD_price_daily!$A$8:$B$1768,2,0)</f>
        <v>197.05</v>
      </c>
      <c r="C104">
        <f t="shared" si="4"/>
        <v>6.9497674893965744E-3</v>
      </c>
      <c r="D104" s="1" t="str">
        <f t="shared" ca="1" si="5"/>
        <v>=B104/B103-1</v>
      </c>
      <c r="E104" s="8">
        <f>VLOOKUP(A104,'[1]S&amp;P500_DAILY'!$A$8:$B$1768,2,0)</f>
        <v>2858.45</v>
      </c>
      <c r="F104" s="1">
        <f t="shared" si="6"/>
        <v>2.824165029469361E-3</v>
      </c>
      <c r="G104" s="1" t="str">
        <f t="shared" ca="1" si="7"/>
        <v>=E104/E103-1</v>
      </c>
    </row>
    <row r="105" spans="1:7">
      <c r="A105" s="14">
        <v>43320</v>
      </c>
      <c r="B105" s="11">
        <f>VLOOKUP(A105,[1]HD_price_daily!$A$8:$B$1768,2,0)</f>
        <v>198.02</v>
      </c>
      <c r="C105">
        <f t="shared" si="4"/>
        <v>4.9226084750062515E-3</v>
      </c>
      <c r="D105" s="1" t="str">
        <f t="shared" ca="1" si="5"/>
        <v>=B105/B104-1</v>
      </c>
      <c r="E105" s="8">
        <f>VLOOKUP(A105,'[1]S&amp;P500_DAILY'!$A$8:$B$1768,2,0)</f>
        <v>2857.7</v>
      </c>
      <c r="F105" s="1">
        <f t="shared" si="6"/>
        <v>-2.6237996116773576E-4</v>
      </c>
      <c r="G105" s="1" t="str">
        <f t="shared" ca="1" si="7"/>
        <v>=E105/E104-1</v>
      </c>
    </row>
    <row r="106" spans="1:7">
      <c r="A106" s="14">
        <v>43321</v>
      </c>
      <c r="B106" s="11">
        <f>VLOOKUP(A106,[1]HD_price_daily!$A$8:$B$1768,2,0)</f>
        <v>198.08</v>
      </c>
      <c r="C106">
        <f t="shared" si="4"/>
        <v>3.0299969700031681E-4</v>
      </c>
      <c r="D106" s="1" t="str">
        <f t="shared" ca="1" si="5"/>
        <v>=B106/B105-1</v>
      </c>
      <c r="E106" s="8">
        <f>VLOOKUP(A106,'[1]S&amp;P500_DAILY'!$A$8:$B$1768,2,0)</f>
        <v>2853.58</v>
      </c>
      <c r="F106" s="1">
        <f t="shared" si="6"/>
        <v>-1.4417188648213619E-3</v>
      </c>
      <c r="G106" s="1" t="str">
        <f t="shared" ca="1" si="7"/>
        <v>=E106/E105-1</v>
      </c>
    </row>
    <row r="107" spans="1:7">
      <c r="A107" s="14">
        <v>43322</v>
      </c>
      <c r="B107" s="11">
        <f>VLOOKUP(A107,[1]HD_price_daily!$A$8:$B$1768,2,0)</f>
        <v>196.3</v>
      </c>
      <c r="C107">
        <f t="shared" si="4"/>
        <v>-8.9862681744750095E-3</v>
      </c>
      <c r="D107" s="1" t="str">
        <f t="shared" ca="1" si="5"/>
        <v>=B107/B106-1</v>
      </c>
      <c r="E107" s="8">
        <f>VLOOKUP(A107,'[1]S&amp;P500_DAILY'!$A$8:$B$1768,2,0)</f>
        <v>2833.28</v>
      </c>
      <c r="F107" s="1">
        <f t="shared" si="6"/>
        <v>-7.1138709971333425E-3</v>
      </c>
      <c r="G107" s="1" t="str">
        <f t="shared" ca="1" si="7"/>
        <v>=E107/E106-1</v>
      </c>
    </row>
    <row r="108" spans="1:7">
      <c r="A108" s="14">
        <v>43325</v>
      </c>
      <c r="B108" s="11">
        <f>VLOOKUP(A108,[1]HD_price_daily!$A$8:$B$1768,2,0)</f>
        <v>194.14</v>
      </c>
      <c r="C108">
        <f t="shared" si="4"/>
        <v>-1.1003565970453488E-2</v>
      </c>
      <c r="D108" s="1" t="str">
        <f t="shared" ca="1" si="5"/>
        <v>=B108/B107-1</v>
      </c>
      <c r="E108" s="8">
        <f>VLOOKUP(A108,'[1]S&amp;P500_DAILY'!$A$8:$B$1768,2,0)</f>
        <v>2821.93</v>
      </c>
      <c r="F108" s="1">
        <f t="shared" si="6"/>
        <v>-4.0059577592049811E-3</v>
      </c>
      <c r="G108" s="1" t="str">
        <f t="shared" ca="1" si="7"/>
        <v>=E108/E107-1</v>
      </c>
    </row>
    <row r="109" spans="1:7">
      <c r="A109" s="14">
        <v>43326</v>
      </c>
      <c r="B109" s="11">
        <f>VLOOKUP(A109,[1]HD_price_daily!$A$8:$B$1768,2,0)</f>
        <v>193.1</v>
      </c>
      <c r="C109">
        <f t="shared" si="4"/>
        <v>-5.3569588956422498E-3</v>
      </c>
      <c r="D109" s="1" t="str">
        <f t="shared" ca="1" si="5"/>
        <v>=B109/B108-1</v>
      </c>
      <c r="E109" s="8">
        <f>VLOOKUP(A109,'[1]S&amp;P500_DAILY'!$A$8:$B$1768,2,0)</f>
        <v>2839.96</v>
      </c>
      <c r="F109" s="1">
        <f t="shared" si="6"/>
        <v>6.3892442406439098E-3</v>
      </c>
      <c r="G109" s="1" t="str">
        <f t="shared" ca="1" si="7"/>
        <v>=E109/E108-1</v>
      </c>
    </row>
    <row r="110" spans="1:7">
      <c r="A110" s="14">
        <v>43327</v>
      </c>
      <c r="B110" s="11">
        <f>VLOOKUP(A110,[1]HD_price_daily!$A$8:$B$1768,2,0)</f>
        <v>193.99</v>
      </c>
      <c r="C110">
        <f t="shared" si="4"/>
        <v>4.6090108751943859E-3</v>
      </c>
      <c r="D110" s="1" t="str">
        <f t="shared" ca="1" si="5"/>
        <v>=B110/B109-1</v>
      </c>
      <c r="E110" s="8">
        <f>VLOOKUP(A110,'[1]S&amp;P500_DAILY'!$A$8:$B$1768,2,0)</f>
        <v>2818.37</v>
      </c>
      <c r="F110" s="1">
        <f t="shared" si="6"/>
        <v>-7.6022197495739796E-3</v>
      </c>
      <c r="G110" s="1" t="str">
        <f t="shared" ca="1" si="7"/>
        <v>=E110/E109-1</v>
      </c>
    </row>
    <row r="111" spans="1:7">
      <c r="A111" s="14">
        <v>43328</v>
      </c>
      <c r="B111" s="11">
        <f>VLOOKUP(A111,[1]HD_price_daily!$A$8:$B$1768,2,0)</f>
        <v>195.39</v>
      </c>
      <c r="C111">
        <f t="shared" si="4"/>
        <v>7.2168668488066245E-3</v>
      </c>
      <c r="D111" s="1" t="str">
        <f t="shared" ca="1" si="5"/>
        <v>=B111/B110-1</v>
      </c>
      <c r="E111" s="8">
        <f>VLOOKUP(A111,'[1]S&amp;P500_DAILY'!$A$8:$B$1768,2,0)</f>
        <v>2840.69</v>
      </c>
      <c r="F111" s="1">
        <f t="shared" si="6"/>
        <v>7.9194711836985121E-3</v>
      </c>
      <c r="G111" s="1" t="str">
        <f t="shared" ca="1" si="7"/>
        <v>=E111/E110-1</v>
      </c>
    </row>
    <row r="112" spans="1:7">
      <c r="A112" s="14">
        <v>43329</v>
      </c>
      <c r="B112" s="11">
        <f>VLOOKUP(A112,[1]HD_price_daily!$A$8:$B$1768,2,0)</f>
        <v>195.56</v>
      </c>
      <c r="C112">
        <f t="shared" si="4"/>
        <v>8.7005476227042244E-4</v>
      </c>
      <c r="D112" s="1" t="str">
        <f t="shared" ca="1" si="5"/>
        <v>=B112/B111-1</v>
      </c>
      <c r="E112" s="8">
        <f>VLOOKUP(A112,'[1]S&amp;P500_DAILY'!$A$8:$B$1768,2,0)</f>
        <v>2850.13</v>
      </c>
      <c r="F112" s="1">
        <f t="shared" si="6"/>
        <v>3.3231362802699227E-3</v>
      </c>
      <c r="G112" s="1" t="str">
        <f t="shared" ca="1" si="7"/>
        <v>=E112/E111-1</v>
      </c>
    </row>
    <row r="113" spans="1:7">
      <c r="A113" s="14">
        <v>43332</v>
      </c>
      <c r="B113" s="11">
        <f>VLOOKUP(A113,[1]HD_price_daily!$A$8:$B$1768,2,0)</f>
        <v>197.93</v>
      </c>
      <c r="C113">
        <f t="shared" si="4"/>
        <v>1.211904274902853E-2</v>
      </c>
      <c r="D113" s="1" t="str">
        <f t="shared" ca="1" si="5"/>
        <v>=B113/B112-1</v>
      </c>
      <c r="E113" s="8">
        <f>VLOOKUP(A113,'[1]S&amp;P500_DAILY'!$A$8:$B$1768,2,0)</f>
        <v>2857.05</v>
      </c>
      <c r="F113" s="1">
        <f t="shared" si="6"/>
        <v>2.4279594264120519E-3</v>
      </c>
      <c r="G113" s="1" t="str">
        <f t="shared" ca="1" si="7"/>
        <v>=E113/E112-1</v>
      </c>
    </row>
    <row r="114" spans="1:7">
      <c r="A114" s="14">
        <v>43333</v>
      </c>
      <c r="B114" s="11">
        <f>VLOOKUP(A114,[1]HD_price_daily!$A$8:$B$1768,2,0)</f>
        <v>200.23</v>
      </c>
      <c r="C114">
        <f t="shared" si="4"/>
        <v>1.1620269792350646E-2</v>
      </c>
      <c r="D114" s="1" t="str">
        <f t="shared" ca="1" si="5"/>
        <v>=B114/B113-1</v>
      </c>
      <c r="E114" s="8">
        <f>VLOOKUP(A114,'[1]S&amp;P500_DAILY'!$A$8:$B$1768,2,0)</f>
        <v>2862.96</v>
      </c>
      <c r="F114" s="1">
        <f t="shared" si="6"/>
        <v>2.0685672284348477E-3</v>
      </c>
      <c r="G114" s="1" t="str">
        <f t="shared" ca="1" si="7"/>
        <v>=E114/E113-1</v>
      </c>
    </row>
    <row r="115" spans="1:7">
      <c r="A115" s="14">
        <v>43334</v>
      </c>
      <c r="B115" s="11">
        <f>VLOOKUP(A115,[1]HD_price_daily!$A$8:$B$1768,2,0)</f>
        <v>198.97</v>
      </c>
      <c r="C115">
        <f t="shared" si="4"/>
        <v>-6.2927633221794288E-3</v>
      </c>
      <c r="D115" s="1" t="str">
        <f t="shared" ca="1" si="5"/>
        <v>=B115/B114-1</v>
      </c>
      <c r="E115" s="8">
        <f>VLOOKUP(A115,'[1]S&amp;P500_DAILY'!$A$8:$B$1768,2,0)</f>
        <v>2861.82</v>
      </c>
      <c r="F115" s="1">
        <f t="shared" si="6"/>
        <v>-3.9818928661239372E-4</v>
      </c>
      <c r="G115" s="1" t="str">
        <f t="shared" ca="1" si="7"/>
        <v>=E115/E114-1</v>
      </c>
    </row>
    <row r="116" spans="1:7">
      <c r="A116" s="14">
        <v>43335</v>
      </c>
      <c r="B116" s="11">
        <f>VLOOKUP(A116,[1]HD_price_daily!$A$8:$B$1768,2,0)</f>
        <v>200.16</v>
      </c>
      <c r="C116">
        <f t="shared" si="4"/>
        <v>5.9808011257977967E-3</v>
      </c>
      <c r="D116" s="1" t="str">
        <f t="shared" ca="1" si="5"/>
        <v>=B116/B115-1</v>
      </c>
      <c r="E116" s="8">
        <f>VLOOKUP(A116,'[1]S&amp;P500_DAILY'!$A$8:$B$1768,2,0)</f>
        <v>2856.98</v>
      </c>
      <c r="F116" s="1">
        <f t="shared" si="6"/>
        <v>-1.691231454109654E-3</v>
      </c>
      <c r="G116" s="1" t="str">
        <f t="shared" ca="1" si="7"/>
        <v>=E116/E115-1</v>
      </c>
    </row>
    <row r="117" spans="1:7">
      <c r="A117" s="14">
        <v>43336</v>
      </c>
      <c r="B117" s="11">
        <f>VLOOKUP(A117,[1]HD_price_daily!$A$8:$B$1768,2,0)</f>
        <v>201.3</v>
      </c>
      <c r="C117">
        <f t="shared" si="4"/>
        <v>5.6954436450840085E-3</v>
      </c>
      <c r="D117" s="1" t="str">
        <f t="shared" ca="1" si="5"/>
        <v>=B117/B116-1</v>
      </c>
      <c r="E117" s="8">
        <f>VLOOKUP(A117,'[1]S&amp;P500_DAILY'!$A$8:$B$1768,2,0)</f>
        <v>2874.69</v>
      </c>
      <c r="F117" s="1">
        <f t="shared" si="6"/>
        <v>6.1988533346399866E-3</v>
      </c>
      <c r="G117" s="1" t="str">
        <f t="shared" ca="1" si="7"/>
        <v>=E117/E116-1</v>
      </c>
    </row>
    <row r="118" spans="1:7">
      <c r="A118" s="14">
        <v>43339</v>
      </c>
      <c r="B118" s="11">
        <f>VLOOKUP(A118,[1]HD_price_daily!$A$8:$B$1768,2,0)</f>
        <v>201.98</v>
      </c>
      <c r="C118">
        <f t="shared" si="4"/>
        <v>3.3780427223049081E-3</v>
      </c>
      <c r="D118" s="1" t="str">
        <f t="shared" ca="1" si="5"/>
        <v>=B118/B117-1</v>
      </c>
      <c r="E118" s="8">
        <f>VLOOKUP(A118,'[1]S&amp;P500_DAILY'!$A$8:$B$1768,2,0)</f>
        <v>2896.74</v>
      </c>
      <c r="F118" s="1">
        <f t="shared" si="6"/>
        <v>7.670392285776817E-3</v>
      </c>
      <c r="G118" s="1" t="str">
        <f t="shared" ca="1" si="7"/>
        <v>=E118/E117-1</v>
      </c>
    </row>
    <row r="119" spans="1:7">
      <c r="A119" s="14">
        <v>43340</v>
      </c>
      <c r="B119" s="11">
        <f>VLOOKUP(A119,[1]HD_price_daily!$A$8:$B$1768,2,0)</f>
        <v>201.97</v>
      </c>
      <c r="C119">
        <f t="shared" si="4"/>
        <v>-4.950985246054973E-5</v>
      </c>
      <c r="D119" s="1" t="str">
        <f t="shared" ca="1" si="5"/>
        <v>=B119/B118-1</v>
      </c>
      <c r="E119" s="8">
        <f>VLOOKUP(A119,'[1]S&amp;P500_DAILY'!$A$8:$B$1768,2,0)</f>
        <v>2897.52</v>
      </c>
      <c r="F119" s="1">
        <f t="shared" si="6"/>
        <v>2.6926821185191407E-4</v>
      </c>
      <c r="G119" s="1" t="str">
        <f t="shared" ca="1" si="7"/>
        <v>=E119/E118-1</v>
      </c>
    </row>
    <row r="120" spans="1:7">
      <c r="A120" s="14">
        <v>43341</v>
      </c>
      <c r="B120" s="11">
        <f>VLOOKUP(A120,[1]HD_price_daily!$A$8:$B$1768,2,0)</f>
        <v>201.68</v>
      </c>
      <c r="C120">
        <f t="shared" si="4"/>
        <v>-1.4358568104173575E-3</v>
      </c>
      <c r="D120" s="1" t="str">
        <f t="shared" ca="1" si="5"/>
        <v>=B120/B119-1</v>
      </c>
      <c r="E120" s="8">
        <f>VLOOKUP(A120,'[1]S&amp;P500_DAILY'!$A$8:$B$1768,2,0)</f>
        <v>2914.04</v>
      </c>
      <c r="F120" s="1">
        <f t="shared" si="6"/>
        <v>5.7014274275932753E-3</v>
      </c>
      <c r="G120" s="1" t="str">
        <f t="shared" ca="1" si="7"/>
        <v>=E120/E119-1</v>
      </c>
    </row>
    <row r="121" spans="1:7">
      <c r="A121" s="14">
        <v>43342</v>
      </c>
      <c r="B121" s="11">
        <f>VLOOKUP(A121,[1]HD_price_daily!$A$8:$B$1768,2,0)</f>
        <v>199.26</v>
      </c>
      <c r="C121">
        <f t="shared" si="4"/>
        <v>-1.1999206664022322E-2</v>
      </c>
      <c r="D121" s="1" t="str">
        <f t="shared" ca="1" si="5"/>
        <v>=B121/B120-1</v>
      </c>
      <c r="E121" s="8">
        <f>VLOOKUP(A121,'[1]S&amp;P500_DAILY'!$A$8:$B$1768,2,0)</f>
        <v>2901.13</v>
      </c>
      <c r="F121" s="1">
        <f t="shared" si="6"/>
        <v>-4.4302754938161382E-3</v>
      </c>
      <c r="G121" s="1" t="str">
        <f t="shared" ca="1" si="7"/>
        <v>=E121/E120-1</v>
      </c>
    </row>
    <row r="122" spans="1:7">
      <c r="A122" s="14">
        <v>43343</v>
      </c>
      <c r="B122" s="11">
        <f>VLOOKUP(A122,[1]HD_price_daily!$A$8:$B$1768,2,0)</f>
        <v>200.77</v>
      </c>
      <c r="C122">
        <f t="shared" si="4"/>
        <v>7.5780387433503904E-3</v>
      </c>
      <c r="D122" s="1" t="str">
        <f t="shared" ca="1" si="5"/>
        <v>=B122/B121-1</v>
      </c>
      <c r="E122" s="8">
        <f>VLOOKUP(A122,'[1]S&amp;P500_DAILY'!$A$8:$B$1768,2,0)</f>
        <v>2901.52</v>
      </c>
      <c r="F122" s="1">
        <f t="shared" si="6"/>
        <v>1.3443037712890238E-4</v>
      </c>
      <c r="G122" s="1" t="str">
        <f t="shared" ca="1" si="7"/>
        <v>=E122/E121-1</v>
      </c>
    </row>
    <row r="123" spans="1:7">
      <c r="A123" s="14">
        <v>43347</v>
      </c>
      <c r="B123" s="11">
        <f>VLOOKUP(A123,[1]HD_price_daily!$A$8:$B$1768,2,0)</f>
        <v>205.08</v>
      </c>
      <c r="C123">
        <f t="shared" si="4"/>
        <v>2.1467350699805765E-2</v>
      </c>
      <c r="D123" s="1" t="str">
        <f t="shared" ca="1" si="5"/>
        <v>=B123/B122-1</v>
      </c>
      <c r="E123" s="8">
        <f>VLOOKUP(A123,'[1]S&amp;P500_DAILY'!$A$8:$B$1768,2,0)</f>
        <v>2896.72</v>
      </c>
      <c r="F123" s="1">
        <f t="shared" si="6"/>
        <v>-1.6543053296204091E-3</v>
      </c>
      <c r="G123" s="1" t="str">
        <f t="shared" ca="1" si="7"/>
        <v>=E123/E122-1</v>
      </c>
    </row>
    <row r="124" spans="1:7">
      <c r="A124" s="14">
        <v>43348</v>
      </c>
      <c r="B124" s="11">
        <f>VLOOKUP(A124,[1]HD_price_daily!$A$8:$B$1768,2,0)</f>
        <v>204.15</v>
      </c>
      <c r="C124">
        <f t="shared" si="4"/>
        <v>-4.5348156816852336E-3</v>
      </c>
      <c r="D124" s="1" t="str">
        <f t="shared" ca="1" si="5"/>
        <v>=B124/B123-1</v>
      </c>
      <c r="E124" s="8">
        <f>VLOOKUP(A124,'[1]S&amp;P500_DAILY'!$A$8:$B$1768,2,0)</f>
        <v>2888.6</v>
      </c>
      <c r="F124" s="1">
        <f t="shared" si="6"/>
        <v>-2.8031704824766912E-3</v>
      </c>
      <c r="G124" s="1" t="str">
        <f t="shared" ca="1" si="7"/>
        <v>=E124/E123-1</v>
      </c>
    </row>
    <row r="125" spans="1:7">
      <c r="A125" s="14">
        <v>43349</v>
      </c>
      <c r="B125" s="11">
        <f>VLOOKUP(A125,[1]HD_price_daily!$A$8:$B$1768,2,0)</f>
        <v>205.89</v>
      </c>
      <c r="C125">
        <f t="shared" si="4"/>
        <v>8.5231447465097254E-3</v>
      </c>
      <c r="D125" s="1" t="str">
        <f t="shared" ca="1" si="5"/>
        <v>=B125/B124-1</v>
      </c>
      <c r="E125" s="8">
        <f>VLOOKUP(A125,'[1]S&amp;P500_DAILY'!$A$8:$B$1768,2,0)</f>
        <v>2878.05</v>
      </c>
      <c r="F125" s="1">
        <f t="shared" si="6"/>
        <v>-3.6522883057535926E-3</v>
      </c>
      <c r="G125" s="1" t="str">
        <f t="shared" ca="1" si="7"/>
        <v>=E125/E124-1</v>
      </c>
    </row>
    <row r="126" spans="1:7">
      <c r="A126" s="14">
        <v>43350</v>
      </c>
      <c r="B126" s="11">
        <f>VLOOKUP(A126,[1]HD_price_daily!$A$8:$B$1768,2,0)</f>
        <v>206.23</v>
      </c>
      <c r="C126">
        <f t="shared" si="4"/>
        <v>1.6513672349312003E-3</v>
      </c>
      <c r="D126" s="1" t="str">
        <f t="shared" ca="1" si="5"/>
        <v>=B126/B125-1</v>
      </c>
      <c r="E126" s="8">
        <f>VLOOKUP(A126,'[1]S&amp;P500_DAILY'!$A$8:$B$1768,2,0)</f>
        <v>2871.68</v>
      </c>
      <c r="F126" s="1">
        <f t="shared" si="6"/>
        <v>-2.2133041469051262E-3</v>
      </c>
      <c r="G126" s="1" t="str">
        <f t="shared" ca="1" si="7"/>
        <v>=E126/E125-1</v>
      </c>
    </row>
    <row r="127" spans="1:7">
      <c r="A127" s="14">
        <v>43353</v>
      </c>
      <c r="B127" s="11">
        <f>VLOOKUP(A127,[1]HD_price_daily!$A$8:$B$1768,2,0)</f>
        <v>210.69</v>
      </c>
      <c r="C127">
        <f t="shared" si="4"/>
        <v>2.1626339523832749E-2</v>
      </c>
      <c r="D127" s="1" t="str">
        <f t="shared" ca="1" si="5"/>
        <v>=B127/B126-1</v>
      </c>
      <c r="E127" s="8">
        <f>VLOOKUP(A127,'[1]S&amp;P500_DAILY'!$A$8:$B$1768,2,0)</f>
        <v>2877.13</v>
      </c>
      <c r="F127" s="1">
        <f t="shared" si="6"/>
        <v>1.8978437708938589E-3</v>
      </c>
      <c r="G127" s="1" t="str">
        <f t="shared" ca="1" si="7"/>
        <v>=E127/E126-1</v>
      </c>
    </row>
    <row r="128" spans="1:7">
      <c r="A128" s="14">
        <v>43354</v>
      </c>
      <c r="B128" s="11">
        <f>VLOOKUP(A128,[1]HD_price_daily!$A$8:$B$1768,2,0)</f>
        <v>213.85</v>
      </c>
      <c r="C128">
        <f t="shared" si="4"/>
        <v>1.4998338791589516E-2</v>
      </c>
      <c r="D128" s="1" t="str">
        <f t="shared" ca="1" si="5"/>
        <v>=B128/B127-1</v>
      </c>
      <c r="E128" s="8">
        <f>VLOOKUP(A128,'[1]S&amp;P500_DAILY'!$A$8:$B$1768,2,0)</f>
        <v>2887.89</v>
      </c>
      <c r="F128" s="1">
        <f t="shared" si="6"/>
        <v>3.7398379635260603E-3</v>
      </c>
      <c r="G128" s="1" t="str">
        <f t="shared" ca="1" si="7"/>
        <v>=E128/E127-1</v>
      </c>
    </row>
    <row r="129" spans="1:7">
      <c r="A129" s="14">
        <v>43355</v>
      </c>
      <c r="B129" s="11">
        <f>VLOOKUP(A129,[1]HD_price_daily!$A$8:$B$1768,2,0)</f>
        <v>211.98</v>
      </c>
      <c r="C129">
        <f t="shared" si="4"/>
        <v>-8.7444470423193588E-3</v>
      </c>
      <c r="D129" s="1" t="str">
        <f t="shared" ca="1" si="5"/>
        <v>=B129/B128-1</v>
      </c>
      <c r="E129" s="8">
        <f>VLOOKUP(A129,'[1]S&amp;P500_DAILY'!$A$8:$B$1768,2,0)</f>
        <v>2888.92</v>
      </c>
      <c r="F129" s="1">
        <f t="shared" si="6"/>
        <v>3.5666178420923345E-4</v>
      </c>
      <c r="G129" s="1" t="str">
        <f t="shared" ca="1" si="7"/>
        <v>=E129/E128-1</v>
      </c>
    </row>
    <row r="130" spans="1:7">
      <c r="A130" s="14">
        <v>43356</v>
      </c>
      <c r="B130" s="11">
        <f>VLOOKUP(A130,[1]HD_price_daily!$A$8:$B$1768,2,0)</f>
        <v>209.45</v>
      </c>
      <c r="C130">
        <f t="shared" si="4"/>
        <v>-1.1935088215869416E-2</v>
      </c>
      <c r="D130" s="1" t="str">
        <f t="shared" ca="1" si="5"/>
        <v>=B130/B129-1</v>
      </c>
      <c r="E130" s="8">
        <f>VLOOKUP(A130,'[1]S&amp;P500_DAILY'!$A$8:$B$1768,2,0)</f>
        <v>2904.18</v>
      </c>
      <c r="F130" s="1">
        <f t="shared" si="6"/>
        <v>5.2822508065297757E-3</v>
      </c>
      <c r="G130" s="1" t="str">
        <f t="shared" ca="1" si="7"/>
        <v>=E130/E129-1</v>
      </c>
    </row>
    <row r="131" spans="1:7">
      <c r="A131" s="14">
        <v>43357</v>
      </c>
      <c r="B131" s="11">
        <f>VLOOKUP(A131,[1]HD_price_daily!$A$8:$B$1768,2,0)</f>
        <v>209.07</v>
      </c>
      <c r="C131">
        <f t="shared" si="4"/>
        <v>-1.8142754834089558E-3</v>
      </c>
      <c r="D131" s="1" t="str">
        <f t="shared" ca="1" si="5"/>
        <v>=B131/B130-1</v>
      </c>
      <c r="E131" s="8">
        <f>VLOOKUP(A131,'[1]S&amp;P500_DAILY'!$A$8:$B$1768,2,0)</f>
        <v>2904.98</v>
      </c>
      <c r="F131" s="1">
        <f t="shared" si="6"/>
        <v>2.7546501938591206E-4</v>
      </c>
      <c r="G131" s="1" t="str">
        <f t="shared" ca="1" si="7"/>
        <v>=E131/E130-1</v>
      </c>
    </row>
    <row r="132" spans="1:7">
      <c r="A132" s="14">
        <v>43360</v>
      </c>
      <c r="B132" s="11">
        <f>VLOOKUP(A132,[1]HD_price_daily!$A$8:$B$1768,2,0)</f>
        <v>208.4</v>
      </c>
      <c r="C132">
        <f t="shared" ref="C132:C195" si="8">B132/B131-1</f>
        <v>-3.2046682929162129E-3</v>
      </c>
      <c r="D132" s="1" t="str">
        <f t="shared" ref="D132:D195" ca="1" si="9">_xlfn.FORMULATEXT(C132)</f>
        <v>=B132/B131-1</v>
      </c>
      <c r="E132" s="8">
        <f>VLOOKUP(A132,'[1]S&amp;P500_DAILY'!$A$8:$B$1768,2,0)</f>
        <v>2888.8</v>
      </c>
      <c r="F132" s="1">
        <f t="shared" ref="F132:F195" si="10">E132/E131-1</f>
        <v>-5.5697457469585654E-3</v>
      </c>
      <c r="G132" s="1" t="str">
        <f t="shared" ref="G132:G195" ca="1" si="11">_xlfn.FORMULATEXT(F132)</f>
        <v>=E132/E131-1</v>
      </c>
    </row>
    <row r="133" spans="1:7">
      <c r="A133" s="14">
        <v>43361</v>
      </c>
      <c r="B133" s="11">
        <f>VLOOKUP(A133,[1]HD_price_daily!$A$8:$B$1768,2,0)</f>
        <v>211.02</v>
      </c>
      <c r="C133">
        <f t="shared" si="8"/>
        <v>1.2571976967370446E-2</v>
      </c>
      <c r="D133" s="1" t="str">
        <f t="shared" ca="1" si="9"/>
        <v>=B133/B132-1</v>
      </c>
      <c r="E133" s="8">
        <f>VLOOKUP(A133,'[1]S&amp;P500_DAILY'!$A$8:$B$1768,2,0)</f>
        <v>2904.31</v>
      </c>
      <c r="F133" s="1">
        <f t="shared" si="10"/>
        <v>5.3690113541955409E-3</v>
      </c>
      <c r="G133" s="1" t="str">
        <f t="shared" ca="1" si="11"/>
        <v>=E133/E132-1</v>
      </c>
    </row>
    <row r="134" spans="1:7">
      <c r="A134" s="14">
        <v>43362</v>
      </c>
      <c r="B134" s="11">
        <f>VLOOKUP(A134,[1]HD_price_daily!$A$8:$B$1768,2,0)</f>
        <v>211.68</v>
      </c>
      <c r="C134">
        <f t="shared" si="8"/>
        <v>3.1276656241114864E-3</v>
      </c>
      <c r="D134" s="1" t="str">
        <f t="shared" ca="1" si="9"/>
        <v>=B134/B133-1</v>
      </c>
      <c r="E134" s="8">
        <f>VLOOKUP(A134,'[1]S&amp;P500_DAILY'!$A$8:$B$1768,2,0)</f>
        <v>2907.95</v>
      </c>
      <c r="F134" s="1">
        <f t="shared" si="10"/>
        <v>1.25330973621951E-3</v>
      </c>
      <c r="G134" s="1" t="str">
        <f t="shared" ca="1" si="11"/>
        <v>=E134/E133-1</v>
      </c>
    </row>
    <row r="135" spans="1:7">
      <c r="A135" s="14">
        <v>43363</v>
      </c>
      <c r="B135" s="11">
        <f>VLOOKUP(A135,[1]HD_price_daily!$A$8:$B$1768,2,0)</f>
        <v>211.06</v>
      </c>
      <c r="C135">
        <f t="shared" si="8"/>
        <v>-2.9289493575208603E-3</v>
      </c>
      <c r="D135" s="1" t="str">
        <f t="shared" ca="1" si="9"/>
        <v>=B135/B134-1</v>
      </c>
      <c r="E135" s="8">
        <f>VLOOKUP(A135,'[1]S&amp;P500_DAILY'!$A$8:$B$1768,2,0)</f>
        <v>2930.75</v>
      </c>
      <c r="F135" s="1">
        <f t="shared" si="10"/>
        <v>7.8405749754981713E-3</v>
      </c>
      <c r="G135" s="1" t="str">
        <f t="shared" ca="1" si="11"/>
        <v>=E135/E134-1</v>
      </c>
    </row>
    <row r="136" spans="1:7">
      <c r="A136" s="14">
        <v>43364</v>
      </c>
      <c r="B136" s="11">
        <f>VLOOKUP(A136,[1]HD_price_daily!$A$8:$B$1768,2,0)</f>
        <v>212.39</v>
      </c>
      <c r="C136">
        <f t="shared" si="8"/>
        <v>6.3015256325213986E-3</v>
      </c>
      <c r="D136" s="1" t="str">
        <f t="shared" ca="1" si="9"/>
        <v>=B136/B135-1</v>
      </c>
      <c r="E136" s="8">
        <f>VLOOKUP(A136,'[1]S&amp;P500_DAILY'!$A$8:$B$1768,2,0)</f>
        <v>2929.67</v>
      </c>
      <c r="F136" s="1">
        <f t="shared" si="10"/>
        <v>-3.6850635502849727E-4</v>
      </c>
      <c r="G136" s="1" t="str">
        <f t="shared" ca="1" si="11"/>
        <v>=E136/E135-1</v>
      </c>
    </row>
    <row r="137" spans="1:7">
      <c r="A137" s="14">
        <v>43367</v>
      </c>
      <c r="B137" s="11">
        <f>VLOOKUP(A137,[1]HD_price_daily!$A$8:$B$1768,2,0)</f>
        <v>207.99</v>
      </c>
      <c r="C137">
        <f t="shared" si="8"/>
        <v>-2.0716606243231683E-2</v>
      </c>
      <c r="D137" s="1" t="str">
        <f t="shared" ca="1" si="9"/>
        <v>=B137/B136-1</v>
      </c>
      <c r="E137" s="8">
        <f>VLOOKUP(A137,'[1]S&amp;P500_DAILY'!$A$8:$B$1768,2,0)</f>
        <v>2919.37</v>
      </c>
      <c r="F137" s="1">
        <f t="shared" si="10"/>
        <v>-3.5157543341060027E-3</v>
      </c>
      <c r="G137" s="1" t="str">
        <f t="shared" ca="1" si="11"/>
        <v>=E137/E136-1</v>
      </c>
    </row>
    <row r="138" spans="1:7">
      <c r="A138" s="14">
        <v>43368</v>
      </c>
      <c r="B138" s="11">
        <f>VLOOKUP(A138,[1]HD_price_daily!$A$8:$B$1768,2,0)</f>
        <v>207.46</v>
      </c>
      <c r="C138">
        <f t="shared" si="8"/>
        <v>-2.5481994326650437E-3</v>
      </c>
      <c r="D138" s="1" t="str">
        <f t="shared" ca="1" si="9"/>
        <v>=B138/B137-1</v>
      </c>
      <c r="E138" s="8">
        <f>VLOOKUP(A138,'[1]S&amp;P500_DAILY'!$A$8:$B$1768,2,0)</f>
        <v>2915.56</v>
      </c>
      <c r="F138" s="1">
        <f t="shared" si="10"/>
        <v>-1.3050760951849316E-3</v>
      </c>
      <c r="G138" s="1" t="str">
        <f t="shared" ca="1" si="11"/>
        <v>=E138/E137-1</v>
      </c>
    </row>
    <row r="139" spans="1:7">
      <c r="A139" s="14">
        <v>43369</v>
      </c>
      <c r="B139" s="11">
        <f>VLOOKUP(A139,[1]HD_price_daily!$A$8:$B$1768,2,0)</f>
        <v>207.52</v>
      </c>
      <c r="C139">
        <f t="shared" si="8"/>
        <v>2.8921237828982704E-4</v>
      </c>
      <c r="D139" s="1" t="str">
        <f t="shared" ca="1" si="9"/>
        <v>=B139/B138-1</v>
      </c>
      <c r="E139" s="8">
        <f>VLOOKUP(A139,'[1]S&amp;P500_DAILY'!$A$8:$B$1768,2,0)</f>
        <v>2905.97</v>
      </c>
      <c r="F139" s="1">
        <f t="shared" si="10"/>
        <v>-3.2892480346828901E-3</v>
      </c>
      <c r="G139" s="1" t="str">
        <f t="shared" ca="1" si="11"/>
        <v>=E139/E138-1</v>
      </c>
    </row>
    <row r="140" spans="1:7">
      <c r="A140" s="14">
        <v>43370</v>
      </c>
      <c r="B140" s="11">
        <f>VLOOKUP(A140,[1]HD_price_daily!$A$8:$B$1768,2,0)</f>
        <v>206.84</v>
      </c>
      <c r="C140">
        <f t="shared" si="8"/>
        <v>-3.2767925983038237E-3</v>
      </c>
      <c r="D140" s="1" t="str">
        <f t="shared" ca="1" si="9"/>
        <v>=B140/B139-1</v>
      </c>
      <c r="E140" s="8">
        <f>VLOOKUP(A140,'[1]S&amp;P500_DAILY'!$A$8:$B$1768,2,0)</f>
        <v>2914</v>
      </c>
      <c r="F140" s="1">
        <f t="shared" si="10"/>
        <v>2.7632769780832067E-3</v>
      </c>
      <c r="G140" s="1" t="str">
        <f t="shared" ca="1" si="11"/>
        <v>=E140/E139-1</v>
      </c>
    </row>
    <row r="141" spans="1:7">
      <c r="A141" s="14">
        <v>43371</v>
      </c>
      <c r="B141" s="11">
        <f>VLOOKUP(A141,[1]HD_price_daily!$A$8:$B$1768,2,0)</f>
        <v>207.15</v>
      </c>
      <c r="C141">
        <f t="shared" si="8"/>
        <v>1.4987429897506122E-3</v>
      </c>
      <c r="D141" s="1" t="str">
        <f t="shared" ca="1" si="9"/>
        <v>=B141/B140-1</v>
      </c>
      <c r="E141" s="8">
        <f>VLOOKUP(A141,'[1]S&amp;P500_DAILY'!$A$8:$B$1768,2,0)</f>
        <v>2913.98</v>
      </c>
      <c r="F141" s="1">
        <f t="shared" si="10"/>
        <v>-6.8634179821724928E-6</v>
      </c>
      <c r="G141" s="1" t="str">
        <f t="shared" ca="1" si="11"/>
        <v>=E141/E140-1</v>
      </c>
    </row>
    <row r="142" spans="1:7">
      <c r="A142" s="14">
        <v>43374</v>
      </c>
      <c r="B142" s="11">
        <f>VLOOKUP(A142,[1]HD_price_daily!$A$8:$B$1768,2,0)</f>
        <v>207.6</v>
      </c>
      <c r="C142">
        <f t="shared" si="8"/>
        <v>2.1723388848660097E-3</v>
      </c>
      <c r="D142" s="1" t="str">
        <f t="shared" ca="1" si="9"/>
        <v>=B142/B141-1</v>
      </c>
      <c r="E142" s="8">
        <f>VLOOKUP(A142,'[1]S&amp;P500_DAILY'!$A$8:$B$1768,2,0)</f>
        <v>2924.59</v>
      </c>
      <c r="F142" s="1">
        <f t="shared" si="10"/>
        <v>3.6410682297065566E-3</v>
      </c>
      <c r="G142" s="1" t="str">
        <f t="shared" ca="1" si="11"/>
        <v>=E142/E141-1</v>
      </c>
    </row>
    <row r="143" spans="1:7">
      <c r="A143" s="14">
        <v>43375</v>
      </c>
      <c r="B143" s="11">
        <f>VLOOKUP(A143,[1]HD_price_daily!$A$8:$B$1768,2,0)</f>
        <v>204.75</v>
      </c>
      <c r="C143">
        <f t="shared" si="8"/>
        <v>-1.3728323699421896E-2</v>
      </c>
      <c r="D143" s="1" t="str">
        <f t="shared" ca="1" si="9"/>
        <v>=B143/B142-1</v>
      </c>
      <c r="E143" s="8">
        <f>VLOOKUP(A143,'[1]S&amp;P500_DAILY'!$A$8:$B$1768,2,0)</f>
        <v>2923.43</v>
      </c>
      <c r="F143" s="1">
        <f t="shared" si="10"/>
        <v>-3.9663679353352244E-4</v>
      </c>
      <c r="G143" s="1" t="str">
        <f t="shared" ca="1" si="11"/>
        <v>=E143/E142-1</v>
      </c>
    </row>
    <row r="144" spans="1:7">
      <c r="A144" s="14">
        <v>43376</v>
      </c>
      <c r="B144" s="11">
        <f>VLOOKUP(A144,[1]HD_price_daily!$A$8:$B$1768,2,0)</f>
        <v>203.74</v>
      </c>
      <c r="C144">
        <f t="shared" si="8"/>
        <v>-4.9328449328448487E-3</v>
      </c>
      <c r="D144" s="1" t="str">
        <f t="shared" ca="1" si="9"/>
        <v>=B144/B143-1</v>
      </c>
      <c r="E144" s="8">
        <f>VLOOKUP(A144,'[1]S&amp;P500_DAILY'!$A$8:$B$1768,2,0)</f>
        <v>2925.51</v>
      </c>
      <c r="F144" s="1">
        <f t="shared" si="10"/>
        <v>7.1149300650286129E-4</v>
      </c>
      <c r="G144" s="1" t="str">
        <f t="shared" ca="1" si="11"/>
        <v>=E144/E143-1</v>
      </c>
    </row>
    <row r="145" spans="1:7">
      <c r="A145" s="14">
        <v>43377</v>
      </c>
      <c r="B145" s="11">
        <f>VLOOKUP(A145,[1]HD_price_daily!$A$8:$B$1768,2,0)</f>
        <v>198.85</v>
      </c>
      <c r="C145">
        <f t="shared" si="8"/>
        <v>-2.4001177971925025E-2</v>
      </c>
      <c r="D145" s="1" t="str">
        <f t="shared" ca="1" si="9"/>
        <v>=B145/B144-1</v>
      </c>
      <c r="E145" s="8">
        <f>VLOOKUP(A145,'[1]S&amp;P500_DAILY'!$A$8:$B$1768,2,0)</f>
        <v>2901.61</v>
      </c>
      <c r="F145" s="1">
        <f t="shared" si="10"/>
        <v>-8.1695157425543119E-3</v>
      </c>
      <c r="G145" s="1" t="str">
        <f t="shared" ca="1" si="11"/>
        <v>=E145/E144-1</v>
      </c>
    </row>
    <row r="146" spans="1:7">
      <c r="A146" s="14">
        <v>43378</v>
      </c>
      <c r="B146" s="11">
        <f>VLOOKUP(A146,[1]HD_price_daily!$A$8:$B$1768,2,0)</f>
        <v>196.38</v>
      </c>
      <c r="C146">
        <f t="shared" si="8"/>
        <v>-1.242142318330397E-2</v>
      </c>
      <c r="D146" s="1" t="str">
        <f t="shared" ca="1" si="9"/>
        <v>=B146/B145-1</v>
      </c>
      <c r="E146" s="8">
        <f>VLOOKUP(A146,'[1]S&amp;P500_DAILY'!$A$8:$B$1768,2,0)</f>
        <v>2885.57</v>
      </c>
      <c r="F146" s="1">
        <f t="shared" si="10"/>
        <v>-5.5279655088037449E-3</v>
      </c>
      <c r="G146" s="1" t="str">
        <f t="shared" ca="1" si="11"/>
        <v>=E146/E145-1</v>
      </c>
    </row>
    <row r="147" spans="1:7">
      <c r="A147" s="14">
        <v>43381</v>
      </c>
      <c r="B147" s="11">
        <f>VLOOKUP(A147,[1]HD_price_daily!$A$8:$B$1768,2,0)</f>
        <v>198.41</v>
      </c>
      <c r="C147">
        <f t="shared" si="8"/>
        <v>1.0337101537834847E-2</v>
      </c>
      <c r="D147" s="1" t="str">
        <f t="shared" ca="1" si="9"/>
        <v>=B147/B146-1</v>
      </c>
      <c r="E147" s="8">
        <f>VLOOKUP(A147,'[1]S&amp;P500_DAILY'!$A$8:$B$1768,2,0)</f>
        <v>2884.43</v>
      </c>
      <c r="F147" s="1">
        <f t="shared" si="10"/>
        <v>-3.9506925841348295E-4</v>
      </c>
      <c r="G147" s="1" t="str">
        <f t="shared" ca="1" si="11"/>
        <v>=E147/E146-1</v>
      </c>
    </row>
    <row r="148" spans="1:7">
      <c r="A148" s="14">
        <v>43382</v>
      </c>
      <c r="B148" s="11">
        <f>VLOOKUP(A148,[1]HD_price_daily!$A$8:$B$1768,2,0)</f>
        <v>195.75</v>
      </c>
      <c r="C148">
        <f t="shared" si="8"/>
        <v>-1.3406582329519634E-2</v>
      </c>
      <c r="D148" s="1" t="str">
        <f t="shared" ca="1" si="9"/>
        <v>=B148/B147-1</v>
      </c>
      <c r="E148" s="8">
        <f>VLOOKUP(A148,'[1]S&amp;P500_DAILY'!$A$8:$B$1768,2,0)</f>
        <v>2880.34</v>
      </c>
      <c r="F148" s="1">
        <f t="shared" si="10"/>
        <v>-1.4179577940874877E-3</v>
      </c>
      <c r="G148" s="1" t="str">
        <f t="shared" ca="1" si="11"/>
        <v>=E148/E147-1</v>
      </c>
    </row>
    <row r="149" spans="1:7">
      <c r="A149" s="14">
        <v>43383</v>
      </c>
      <c r="B149" s="11">
        <f>VLOOKUP(A149,[1]HD_price_daily!$A$8:$B$1768,2,0)</f>
        <v>193.7</v>
      </c>
      <c r="C149">
        <f t="shared" si="8"/>
        <v>-1.0472541507024369E-2</v>
      </c>
      <c r="D149" s="1" t="str">
        <f t="shared" ca="1" si="9"/>
        <v>=B149/B148-1</v>
      </c>
      <c r="E149" s="8">
        <f>VLOOKUP(A149,'[1]S&amp;P500_DAILY'!$A$8:$B$1768,2,0)</f>
        <v>2785.68</v>
      </c>
      <c r="F149" s="1">
        <f t="shared" si="10"/>
        <v>-3.2864175757028824E-2</v>
      </c>
      <c r="G149" s="1" t="str">
        <f t="shared" ca="1" si="11"/>
        <v>=E149/E148-1</v>
      </c>
    </row>
    <row r="150" spans="1:7">
      <c r="A150" s="14">
        <v>43384</v>
      </c>
      <c r="B150" s="11">
        <f>VLOOKUP(A150,[1]HD_price_daily!$A$8:$B$1768,2,0)</f>
        <v>189.74</v>
      </c>
      <c r="C150">
        <f t="shared" si="8"/>
        <v>-2.044398554465654E-2</v>
      </c>
      <c r="D150" s="1" t="str">
        <f t="shared" ca="1" si="9"/>
        <v>=B150/B149-1</v>
      </c>
      <c r="E150" s="8">
        <f>VLOOKUP(A150,'[1]S&amp;P500_DAILY'!$A$8:$B$1768,2,0)</f>
        <v>2728.37</v>
      </c>
      <c r="F150" s="1">
        <f t="shared" si="10"/>
        <v>-2.0573073719881707E-2</v>
      </c>
      <c r="G150" s="1" t="str">
        <f t="shared" ca="1" si="11"/>
        <v>=E150/E149-1</v>
      </c>
    </row>
    <row r="151" spans="1:7">
      <c r="A151" s="14">
        <v>43385</v>
      </c>
      <c r="B151" s="11">
        <f>VLOOKUP(A151,[1]HD_price_daily!$A$8:$B$1768,2,0)</f>
        <v>192.47</v>
      </c>
      <c r="C151">
        <f t="shared" si="8"/>
        <v>1.4388110045325142E-2</v>
      </c>
      <c r="D151" s="1" t="str">
        <f t="shared" ca="1" si="9"/>
        <v>=B151/B150-1</v>
      </c>
      <c r="E151" s="8">
        <f>VLOOKUP(A151,'[1]S&amp;P500_DAILY'!$A$8:$B$1768,2,0)</f>
        <v>2767.13</v>
      </c>
      <c r="F151" s="1">
        <f t="shared" si="10"/>
        <v>1.4206284338267983E-2</v>
      </c>
      <c r="G151" s="1" t="str">
        <f t="shared" ca="1" si="11"/>
        <v>=E151/E150-1</v>
      </c>
    </row>
    <row r="152" spans="1:7">
      <c r="A152" s="14">
        <v>43388</v>
      </c>
      <c r="B152" s="11">
        <f>VLOOKUP(A152,[1]HD_price_daily!$A$8:$B$1768,2,0)</f>
        <v>191.17</v>
      </c>
      <c r="C152">
        <f t="shared" si="8"/>
        <v>-6.7542993713306521E-3</v>
      </c>
      <c r="D152" s="1" t="str">
        <f t="shared" ca="1" si="9"/>
        <v>=B152/B151-1</v>
      </c>
      <c r="E152" s="8">
        <f>VLOOKUP(A152,'[1]S&amp;P500_DAILY'!$A$8:$B$1768,2,0)</f>
        <v>2750.79</v>
      </c>
      <c r="F152" s="1">
        <f t="shared" si="10"/>
        <v>-5.9050351808552781E-3</v>
      </c>
      <c r="G152" s="1" t="str">
        <f t="shared" ca="1" si="11"/>
        <v>=E152/E151-1</v>
      </c>
    </row>
    <row r="153" spans="1:7">
      <c r="A153" s="14">
        <v>43389</v>
      </c>
      <c r="B153" s="11">
        <f>VLOOKUP(A153,[1]HD_price_daily!$A$8:$B$1768,2,0)</f>
        <v>193.58</v>
      </c>
      <c r="C153">
        <f t="shared" si="8"/>
        <v>1.2606580530418077E-2</v>
      </c>
      <c r="D153" s="1" t="str">
        <f t="shared" ca="1" si="9"/>
        <v>=B153/B152-1</v>
      </c>
      <c r="E153" s="8">
        <f>VLOOKUP(A153,'[1]S&amp;P500_DAILY'!$A$8:$B$1768,2,0)</f>
        <v>2809.92</v>
      </c>
      <c r="F153" s="1">
        <f t="shared" si="10"/>
        <v>2.1495643069809001E-2</v>
      </c>
      <c r="G153" s="1" t="str">
        <f t="shared" ca="1" si="11"/>
        <v>=E153/E152-1</v>
      </c>
    </row>
    <row r="154" spans="1:7">
      <c r="A154" s="14">
        <v>43390</v>
      </c>
      <c r="B154" s="11">
        <f>VLOOKUP(A154,[1]HD_price_daily!$A$8:$B$1768,2,0)</f>
        <v>185.17</v>
      </c>
      <c r="C154">
        <f t="shared" si="8"/>
        <v>-4.3444570720115872E-2</v>
      </c>
      <c r="D154" s="1" t="str">
        <f t="shared" ca="1" si="9"/>
        <v>=B154/B153-1</v>
      </c>
      <c r="E154" s="8">
        <f>VLOOKUP(A154,'[1]S&amp;P500_DAILY'!$A$8:$B$1768,2,0)</f>
        <v>2809.21</v>
      </c>
      <c r="F154" s="1">
        <f t="shared" si="10"/>
        <v>-2.5267623277536178E-4</v>
      </c>
      <c r="G154" s="1" t="str">
        <f t="shared" ca="1" si="11"/>
        <v>=E154/E153-1</v>
      </c>
    </row>
    <row r="155" spans="1:7">
      <c r="A155" s="14">
        <v>43391</v>
      </c>
      <c r="B155" s="11">
        <f>VLOOKUP(A155,[1]HD_price_daily!$A$8:$B$1768,2,0)</f>
        <v>180.44</v>
      </c>
      <c r="C155">
        <f t="shared" si="8"/>
        <v>-2.5544094615758461E-2</v>
      </c>
      <c r="D155" s="1" t="str">
        <f t="shared" ca="1" si="9"/>
        <v>=B155/B154-1</v>
      </c>
      <c r="E155" s="8">
        <f>VLOOKUP(A155,'[1]S&amp;P500_DAILY'!$A$8:$B$1768,2,0)</f>
        <v>2768.78</v>
      </c>
      <c r="F155" s="1">
        <f t="shared" si="10"/>
        <v>-1.4391946490294405E-2</v>
      </c>
      <c r="G155" s="1" t="str">
        <f t="shared" ca="1" si="11"/>
        <v>=E155/E154-1</v>
      </c>
    </row>
    <row r="156" spans="1:7">
      <c r="A156" s="14">
        <v>43392</v>
      </c>
      <c r="B156" s="11">
        <f>VLOOKUP(A156,[1]HD_price_daily!$A$8:$B$1768,2,0)</f>
        <v>179.85</v>
      </c>
      <c r="C156">
        <f t="shared" si="8"/>
        <v>-3.2697849700731307E-3</v>
      </c>
      <c r="D156" s="1" t="str">
        <f t="shared" ca="1" si="9"/>
        <v>=B156/B155-1</v>
      </c>
      <c r="E156" s="8">
        <f>VLOOKUP(A156,'[1]S&amp;P500_DAILY'!$A$8:$B$1768,2,0)</f>
        <v>2767.78</v>
      </c>
      <c r="F156" s="1">
        <f t="shared" si="10"/>
        <v>-3.6116990154511086E-4</v>
      </c>
      <c r="G156" s="1" t="str">
        <f t="shared" ca="1" si="11"/>
        <v>=E156/E155-1</v>
      </c>
    </row>
    <row r="157" spans="1:7">
      <c r="A157" s="14">
        <v>43395</v>
      </c>
      <c r="B157" s="11">
        <f>VLOOKUP(A157,[1]HD_price_daily!$A$8:$B$1768,2,0)</f>
        <v>178.75</v>
      </c>
      <c r="C157">
        <f t="shared" si="8"/>
        <v>-6.1162079510702627E-3</v>
      </c>
      <c r="D157" s="1" t="str">
        <f t="shared" ca="1" si="9"/>
        <v>=B157/B156-1</v>
      </c>
      <c r="E157" s="8">
        <f>VLOOKUP(A157,'[1]S&amp;P500_DAILY'!$A$8:$B$1768,2,0)</f>
        <v>2755.88</v>
      </c>
      <c r="F157" s="1">
        <f t="shared" si="10"/>
        <v>-4.2994746692295305E-3</v>
      </c>
      <c r="G157" s="1" t="str">
        <f t="shared" ca="1" si="11"/>
        <v>=E157/E156-1</v>
      </c>
    </row>
    <row r="158" spans="1:7">
      <c r="A158" s="14">
        <v>43396</v>
      </c>
      <c r="B158" s="11">
        <f>VLOOKUP(A158,[1]HD_price_daily!$A$8:$B$1768,2,0)</f>
        <v>178.53</v>
      </c>
      <c r="C158">
        <f t="shared" si="8"/>
        <v>-1.2307692307692575E-3</v>
      </c>
      <c r="D158" s="1" t="str">
        <f t="shared" ca="1" si="9"/>
        <v>=B158/B157-1</v>
      </c>
      <c r="E158" s="8">
        <f>VLOOKUP(A158,'[1]S&amp;P500_DAILY'!$A$8:$B$1768,2,0)</f>
        <v>2740.69</v>
      </c>
      <c r="F158" s="1">
        <f t="shared" si="10"/>
        <v>-5.5118510239923202E-3</v>
      </c>
      <c r="G158" s="1" t="str">
        <f t="shared" ca="1" si="11"/>
        <v>=E158/E157-1</v>
      </c>
    </row>
    <row r="159" spans="1:7">
      <c r="A159" s="14">
        <v>43397</v>
      </c>
      <c r="B159" s="11">
        <f>VLOOKUP(A159,[1]HD_price_daily!$A$8:$B$1768,2,0)</f>
        <v>176.97</v>
      </c>
      <c r="C159">
        <f t="shared" si="8"/>
        <v>-8.7380272223155364E-3</v>
      </c>
      <c r="D159" s="1" t="str">
        <f t="shared" ca="1" si="9"/>
        <v>=B159/B158-1</v>
      </c>
      <c r="E159" s="8">
        <f>VLOOKUP(A159,'[1]S&amp;P500_DAILY'!$A$8:$B$1768,2,0)</f>
        <v>2656.1</v>
      </c>
      <c r="F159" s="1">
        <f t="shared" si="10"/>
        <v>-3.0864490329077787E-2</v>
      </c>
      <c r="G159" s="1" t="str">
        <f t="shared" ca="1" si="11"/>
        <v>=E159/E158-1</v>
      </c>
    </row>
    <row r="160" spans="1:7">
      <c r="A160" s="14">
        <v>43398</v>
      </c>
      <c r="B160" s="11">
        <f>VLOOKUP(A160,[1]HD_price_daily!$A$8:$B$1768,2,0)</f>
        <v>179.07</v>
      </c>
      <c r="C160">
        <f t="shared" si="8"/>
        <v>1.1866418036955428E-2</v>
      </c>
      <c r="D160" s="1" t="str">
        <f t="shared" ca="1" si="9"/>
        <v>=B160/B159-1</v>
      </c>
      <c r="E160" s="8">
        <f>VLOOKUP(A160,'[1]S&amp;P500_DAILY'!$A$8:$B$1768,2,0)</f>
        <v>2705.57</v>
      </c>
      <c r="F160" s="1">
        <f t="shared" si="10"/>
        <v>1.8625051767629408E-2</v>
      </c>
      <c r="G160" s="1" t="str">
        <f t="shared" ca="1" si="11"/>
        <v>=E160/E159-1</v>
      </c>
    </row>
    <row r="161" spans="1:7">
      <c r="A161" s="14">
        <v>43399</v>
      </c>
      <c r="B161" s="11">
        <f>VLOOKUP(A161,[1]HD_price_daily!$A$8:$B$1768,2,0)</f>
        <v>172.23</v>
      </c>
      <c r="C161">
        <f t="shared" si="8"/>
        <v>-3.8197352990450684E-2</v>
      </c>
      <c r="D161" s="1" t="str">
        <f t="shared" ca="1" si="9"/>
        <v>=B161/B160-1</v>
      </c>
      <c r="E161" s="8">
        <f>VLOOKUP(A161,'[1]S&amp;P500_DAILY'!$A$8:$B$1768,2,0)</f>
        <v>2658.69</v>
      </c>
      <c r="F161" s="1">
        <f t="shared" si="10"/>
        <v>-1.7327217554896079E-2</v>
      </c>
      <c r="G161" s="1" t="str">
        <f t="shared" ca="1" si="11"/>
        <v>=E161/E160-1</v>
      </c>
    </row>
    <row r="162" spans="1:7">
      <c r="A162" s="14">
        <v>43402</v>
      </c>
      <c r="B162" s="11">
        <f>VLOOKUP(A162,[1]HD_price_daily!$A$8:$B$1768,2,0)</f>
        <v>173.2</v>
      </c>
      <c r="C162">
        <f t="shared" si="8"/>
        <v>5.6320037159611758E-3</v>
      </c>
      <c r="D162" s="1" t="str">
        <f t="shared" ca="1" si="9"/>
        <v>=B162/B161-1</v>
      </c>
      <c r="E162" s="8">
        <f>VLOOKUP(A162,'[1]S&amp;P500_DAILY'!$A$8:$B$1768,2,0)</f>
        <v>2641.25</v>
      </c>
      <c r="F162" s="1">
        <f t="shared" si="10"/>
        <v>-6.5596214677152709E-3</v>
      </c>
      <c r="G162" s="1" t="str">
        <f t="shared" ca="1" si="11"/>
        <v>=E162/E161-1</v>
      </c>
    </row>
    <row r="163" spans="1:7">
      <c r="A163" s="14">
        <v>43403</v>
      </c>
      <c r="B163" s="11">
        <f>VLOOKUP(A163,[1]HD_price_daily!$A$8:$B$1768,2,0)</f>
        <v>176.24</v>
      </c>
      <c r="C163">
        <f t="shared" si="8"/>
        <v>1.7551963048499042E-2</v>
      </c>
      <c r="D163" s="1" t="str">
        <f t="shared" ca="1" si="9"/>
        <v>=B163/B162-1</v>
      </c>
      <c r="E163" s="8">
        <f>VLOOKUP(A163,'[1]S&amp;P500_DAILY'!$A$8:$B$1768,2,0)</f>
        <v>2682.63</v>
      </c>
      <c r="F163" s="1">
        <f t="shared" si="10"/>
        <v>1.5666824420255576E-2</v>
      </c>
      <c r="G163" s="1" t="str">
        <f t="shared" ca="1" si="11"/>
        <v>=E163/E162-1</v>
      </c>
    </row>
    <row r="164" spans="1:7">
      <c r="A164" s="14">
        <v>43404</v>
      </c>
      <c r="B164" s="11">
        <f>VLOOKUP(A164,[1]HD_price_daily!$A$8:$B$1768,2,0)</f>
        <v>175.88</v>
      </c>
      <c r="C164">
        <f t="shared" si="8"/>
        <v>-2.0426690876078624E-3</v>
      </c>
      <c r="D164" s="1" t="str">
        <f t="shared" ca="1" si="9"/>
        <v>=B164/B163-1</v>
      </c>
      <c r="E164" s="8">
        <f>VLOOKUP(A164,'[1]S&amp;P500_DAILY'!$A$8:$B$1768,2,0)</f>
        <v>2711.74</v>
      </c>
      <c r="F164" s="1">
        <f t="shared" si="10"/>
        <v>1.0851291456518197E-2</v>
      </c>
      <c r="G164" s="1" t="str">
        <f t="shared" ca="1" si="11"/>
        <v>=E164/E163-1</v>
      </c>
    </row>
    <row r="165" spans="1:7">
      <c r="A165" s="14">
        <v>43405</v>
      </c>
      <c r="B165" s="11">
        <f>VLOOKUP(A165,[1]HD_price_daily!$A$8:$B$1768,2,0)</f>
        <v>180.46</v>
      </c>
      <c r="C165">
        <f t="shared" si="8"/>
        <v>2.6040482146918453E-2</v>
      </c>
      <c r="D165" s="1" t="str">
        <f t="shared" ca="1" si="9"/>
        <v>=B165/B164-1</v>
      </c>
      <c r="E165" s="8">
        <f>VLOOKUP(A165,'[1]S&amp;P500_DAILY'!$A$8:$B$1768,2,0)</f>
        <v>2740.37</v>
      </c>
      <c r="F165" s="1">
        <f t="shared" si="10"/>
        <v>1.05577968389301E-2</v>
      </c>
      <c r="G165" s="1" t="str">
        <f t="shared" ca="1" si="11"/>
        <v>=E165/E164-1</v>
      </c>
    </row>
    <row r="166" spans="1:7">
      <c r="A166" s="14">
        <v>43406</v>
      </c>
      <c r="B166" s="11">
        <f>VLOOKUP(A166,[1]HD_price_daily!$A$8:$B$1768,2,0)</f>
        <v>179.93</v>
      </c>
      <c r="C166">
        <f t="shared" si="8"/>
        <v>-2.936938933835731E-3</v>
      </c>
      <c r="D166" s="1" t="str">
        <f t="shared" ca="1" si="9"/>
        <v>=B166/B165-1</v>
      </c>
      <c r="E166" s="8">
        <f>VLOOKUP(A166,'[1]S&amp;P500_DAILY'!$A$8:$B$1768,2,0)</f>
        <v>2723.06</v>
      </c>
      <c r="F166" s="1">
        <f t="shared" si="10"/>
        <v>-6.3166652678288138E-3</v>
      </c>
      <c r="G166" s="1" t="str">
        <f t="shared" ca="1" si="11"/>
        <v>=E166/E165-1</v>
      </c>
    </row>
    <row r="167" spans="1:7">
      <c r="A167" s="14">
        <v>43409</v>
      </c>
      <c r="B167" s="11">
        <f>VLOOKUP(A167,[1]HD_price_daily!$A$8:$B$1768,2,0)</f>
        <v>182.19</v>
      </c>
      <c r="C167">
        <f t="shared" si="8"/>
        <v>1.2560440171177634E-2</v>
      </c>
      <c r="D167" s="1" t="str">
        <f t="shared" ca="1" si="9"/>
        <v>=B167/B166-1</v>
      </c>
      <c r="E167" s="8">
        <f>VLOOKUP(A167,'[1]S&amp;P500_DAILY'!$A$8:$B$1768,2,0)</f>
        <v>2738.31</v>
      </c>
      <c r="F167" s="1">
        <f t="shared" si="10"/>
        <v>5.6003172901073484E-3</v>
      </c>
      <c r="G167" s="1" t="str">
        <f t="shared" ca="1" si="11"/>
        <v>=E167/E166-1</v>
      </c>
    </row>
    <row r="168" spans="1:7">
      <c r="A168" s="14">
        <v>43410</v>
      </c>
      <c r="B168" s="11">
        <f>VLOOKUP(A168,[1]HD_price_daily!$A$8:$B$1768,2,0)</f>
        <v>182.01</v>
      </c>
      <c r="C168">
        <f t="shared" si="8"/>
        <v>-9.8797958175533829E-4</v>
      </c>
      <c r="D168" s="1" t="str">
        <f t="shared" ca="1" si="9"/>
        <v>=B168/B167-1</v>
      </c>
      <c r="E168" s="8">
        <f>VLOOKUP(A168,'[1]S&amp;P500_DAILY'!$A$8:$B$1768,2,0)</f>
        <v>2755.45</v>
      </c>
      <c r="F168" s="1">
        <f t="shared" si="10"/>
        <v>6.2593351373656514E-3</v>
      </c>
      <c r="G168" s="1" t="str">
        <f t="shared" ca="1" si="11"/>
        <v>=E168/E167-1</v>
      </c>
    </row>
    <row r="169" spans="1:7">
      <c r="A169" s="14">
        <v>43411</v>
      </c>
      <c r="B169" s="11">
        <f>VLOOKUP(A169,[1]HD_price_daily!$A$8:$B$1768,2,0)</f>
        <v>187.23</v>
      </c>
      <c r="C169">
        <f t="shared" si="8"/>
        <v>2.8679742871270841E-2</v>
      </c>
      <c r="D169" s="1" t="str">
        <f t="shared" ca="1" si="9"/>
        <v>=B169/B168-1</v>
      </c>
      <c r="E169" s="8">
        <f>VLOOKUP(A169,'[1]S&amp;P500_DAILY'!$A$8:$B$1768,2,0)</f>
        <v>2813.89</v>
      </c>
      <c r="F169" s="1">
        <f t="shared" si="10"/>
        <v>2.1208876952947708E-2</v>
      </c>
      <c r="G169" s="1" t="str">
        <f t="shared" ca="1" si="11"/>
        <v>=E169/E168-1</v>
      </c>
    </row>
    <row r="170" spans="1:7">
      <c r="A170" s="14">
        <v>43412</v>
      </c>
      <c r="B170" s="11">
        <f>VLOOKUP(A170,[1]HD_price_daily!$A$8:$B$1768,2,0)</f>
        <v>188</v>
      </c>
      <c r="C170">
        <f t="shared" si="8"/>
        <v>4.1125887945308026E-3</v>
      </c>
      <c r="D170" s="1" t="str">
        <f t="shared" ca="1" si="9"/>
        <v>=B170/B169-1</v>
      </c>
      <c r="E170" s="8">
        <f>VLOOKUP(A170,'[1]S&amp;P500_DAILY'!$A$8:$B$1768,2,0)</f>
        <v>2806.83</v>
      </c>
      <c r="F170" s="1">
        <f t="shared" si="10"/>
        <v>-2.5089822274502183E-3</v>
      </c>
      <c r="G170" s="1" t="str">
        <f t="shared" ca="1" si="11"/>
        <v>=E170/E169-1</v>
      </c>
    </row>
    <row r="171" spans="1:7">
      <c r="A171" s="14">
        <v>43413</v>
      </c>
      <c r="B171" s="11">
        <f>VLOOKUP(A171,[1]HD_price_daily!$A$8:$B$1768,2,0)</f>
        <v>185.99</v>
      </c>
      <c r="C171">
        <f t="shared" si="8"/>
        <v>-1.0691489361702056E-2</v>
      </c>
      <c r="D171" s="1" t="str">
        <f t="shared" ca="1" si="9"/>
        <v>=B171/B170-1</v>
      </c>
      <c r="E171" s="8">
        <f>VLOOKUP(A171,'[1]S&amp;P500_DAILY'!$A$8:$B$1768,2,0)</f>
        <v>2781.01</v>
      </c>
      <c r="F171" s="1">
        <f t="shared" si="10"/>
        <v>-9.1989896074931021E-3</v>
      </c>
      <c r="G171" s="1" t="str">
        <f t="shared" ca="1" si="11"/>
        <v>=E171/E170-1</v>
      </c>
    </row>
    <row r="172" spans="1:7">
      <c r="A172" s="14">
        <v>43416</v>
      </c>
      <c r="B172" s="11">
        <f>VLOOKUP(A172,[1]HD_price_daily!$A$8:$B$1768,2,0)</f>
        <v>179.43</v>
      </c>
      <c r="C172">
        <f t="shared" si="8"/>
        <v>-3.5270713479219284E-2</v>
      </c>
      <c r="D172" s="1" t="str">
        <f t="shared" ca="1" si="9"/>
        <v>=B172/B171-1</v>
      </c>
      <c r="E172" s="8">
        <f>VLOOKUP(A172,'[1]S&amp;P500_DAILY'!$A$8:$B$1768,2,0)</f>
        <v>2726.22</v>
      </c>
      <c r="F172" s="1">
        <f t="shared" si="10"/>
        <v>-1.9701475363267495E-2</v>
      </c>
      <c r="G172" s="1" t="str">
        <f t="shared" ca="1" si="11"/>
        <v>=E172/E171-1</v>
      </c>
    </row>
    <row r="173" spans="1:7">
      <c r="A173" s="14">
        <v>43417</v>
      </c>
      <c r="B173" s="11">
        <f>VLOOKUP(A173,[1]HD_price_daily!$A$8:$B$1768,2,0)</f>
        <v>179</v>
      </c>
      <c r="C173">
        <f t="shared" si="8"/>
        <v>-2.3964777350499178E-3</v>
      </c>
      <c r="D173" s="1" t="str">
        <f t="shared" ca="1" si="9"/>
        <v>=B173/B172-1</v>
      </c>
      <c r="E173" s="8">
        <f>VLOOKUP(A173,'[1]S&amp;P500_DAILY'!$A$8:$B$1768,2,0)</f>
        <v>2722.18</v>
      </c>
      <c r="F173" s="1">
        <f t="shared" si="10"/>
        <v>-1.4819053487979961E-3</v>
      </c>
      <c r="G173" s="1" t="str">
        <f t="shared" ca="1" si="11"/>
        <v>=E173/E172-1</v>
      </c>
    </row>
    <row r="174" spans="1:7">
      <c r="A174" s="14">
        <v>43418</v>
      </c>
      <c r="B174" s="11">
        <f>VLOOKUP(A174,[1]HD_price_daily!$A$8:$B$1768,2,0)</f>
        <v>179.9</v>
      </c>
      <c r="C174">
        <f t="shared" si="8"/>
        <v>5.0279329608939882E-3</v>
      </c>
      <c r="D174" s="1" t="str">
        <f t="shared" ca="1" si="9"/>
        <v>=B174/B173-1</v>
      </c>
      <c r="E174" s="8">
        <f>VLOOKUP(A174,'[1]S&amp;P500_DAILY'!$A$8:$B$1768,2,0)</f>
        <v>2701.58</v>
      </c>
      <c r="F174" s="1">
        <f t="shared" si="10"/>
        <v>-7.5674643116913076E-3</v>
      </c>
      <c r="G174" s="1" t="str">
        <f t="shared" ca="1" si="11"/>
        <v>=E174/E173-1</v>
      </c>
    </row>
    <row r="175" spans="1:7">
      <c r="A175" s="14">
        <v>43419</v>
      </c>
      <c r="B175" s="11">
        <f>VLOOKUP(A175,[1]HD_price_daily!$A$8:$B$1768,2,0)</f>
        <v>177.36</v>
      </c>
      <c r="C175">
        <f t="shared" si="8"/>
        <v>-1.4118954974986053E-2</v>
      </c>
      <c r="D175" s="1" t="str">
        <f t="shared" ca="1" si="9"/>
        <v>=B175/B174-1</v>
      </c>
      <c r="E175" s="8">
        <f>VLOOKUP(A175,'[1]S&amp;P500_DAILY'!$A$8:$B$1768,2,0)</f>
        <v>2730.2</v>
      </c>
      <c r="F175" s="1">
        <f t="shared" si="10"/>
        <v>1.0593800664796094E-2</v>
      </c>
      <c r="G175" s="1" t="str">
        <f t="shared" ca="1" si="11"/>
        <v>=E175/E174-1</v>
      </c>
    </row>
    <row r="176" spans="1:7">
      <c r="A176" s="14">
        <v>43420</v>
      </c>
      <c r="B176" s="11">
        <f>VLOOKUP(A176,[1]HD_price_daily!$A$8:$B$1768,2,0)</f>
        <v>177.02</v>
      </c>
      <c r="C176">
        <f t="shared" si="8"/>
        <v>-1.9170049616599183E-3</v>
      </c>
      <c r="D176" s="1" t="str">
        <f t="shared" ca="1" si="9"/>
        <v>=B176/B175-1</v>
      </c>
      <c r="E176" s="8">
        <f>VLOOKUP(A176,'[1]S&amp;P500_DAILY'!$A$8:$B$1768,2,0)</f>
        <v>2736.27</v>
      </c>
      <c r="F176" s="1">
        <f t="shared" si="10"/>
        <v>2.2232803457622463E-3</v>
      </c>
      <c r="G176" s="1" t="str">
        <f t="shared" ca="1" si="11"/>
        <v>=E176/E175-1</v>
      </c>
    </row>
    <row r="177" spans="1:7">
      <c r="A177" s="14">
        <v>43423</v>
      </c>
      <c r="B177" s="11">
        <f>VLOOKUP(A177,[1]HD_price_daily!$A$8:$B$1768,2,0)</f>
        <v>173.59</v>
      </c>
      <c r="C177">
        <f t="shared" si="8"/>
        <v>-1.9376341656310081E-2</v>
      </c>
      <c r="D177" s="1" t="str">
        <f t="shared" ca="1" si="9"/>
        <v>=B177/B176-1</v>
      </c>
      <c r="E177" s="8">
        <f>VLOOKUP(A177,'[1]S&amp;P500_DAILY'!$A$8:$B$1768,2,0)</f>
        <v>2690.73</v>
      </c>
      <c r="F177" s="1">
        <f t="shared" si="10"/>
        <v>-1.6643094431470606E-2</v>
      </c>
      <c r="G177" s="1" t="str">
        <f t="shared" ca="1" si="11"/>
        <v>=E177/E176-1</v>
      </c>
    </row>
    <row r="178" spans="1:7">
      <c r="A178" s="14">
        <v>43424</v>
      </c>
      <c r="B178" s="11">
        <f>VLOOKUP(A178,[1]HD_price_daily!$A$8:$B$1768,2,0)</f>
        <v>169.05</v>
      </c>
      <c r="C178">
        <f t="shared" si="8"/>
        <v>-2.615358027536141E-2</v>
      </c>
      <c r="D178" s="1" t="str">
        <f t="shared" ca="1" si="9"/>
        <v>=B178/B177-1</v>
      </c>
      <c r="E178" s="8">
        <f>VLOOKUP(A178,'[1]S&amp;P500_DAILY'!$A$8:$B$1768,2,0)</f>
        <v>2641.89</v>
      </c>
      <c r="F178" s="1">
        <f t="shared" si="10"/>
        <v>-1.8151208036480848E-2</v>
      </c>
      <c r="G178" s="1" t="str">
        <f t="shared" ca="1" si="11"/>
        <v>=E178/E177-1</v>
      </c>
    </row>
    <row r="179" spans="1:7">
      <c r="A179" s="14">
        <v>43425</v>
      </c>
      <c r="B179" s="11">
        <f>VLOOKUP(A179,[1]HD_price_daily!$A$8:$B$1768,2,0)</f>
        <v>169.3</v>
      </c>
      <c r="C179">
        <f t="shared" si="8"/>
        <v>1.4788524105293632E-3</v>
      </c>
      <c r="D179" s="1" t="str">
        <f t="shared" ca="1" si="9"/>
        <v>=B179/B178-1</v>
      </c>
      <c r="E179" s="8">
        <f>VLOOKUP(A179,'[1]S&amp;P500_DAILY'!$A$8:$B$1768,2,0)</f>
        <v>2649.93</v>
      </c>
      <c r="F179" s="1">
        <f t="shared" si="10"/>
        <v>3.0432758366170098E-3</v>
      </c>
      <c r="G179" s="1" t="str">
        <f t="shared" ca="1" si="11"/>
        <v>=E179/E178-1</v>
      </c>
    </row>
    <row r="180" spans="1:7">
      <c r="A180" s="14">
        <v>43427</v>
      </c>
      <c r="B180" s="11">
        <f>VLOOKUP(A180,[1]HD_price_daily!$A$8:$B$1768,2,0)</f>
        <v>168.85</v>
      </c>
      <c r="C180">
        <f t="shared" si="8"/>
        <v>-2.6580035440048055E-3</v>
      </c>
      <c r="D180" s="1" t="str">
        <f t="shared" ca="1" si="9"/>
        <v>=B180/B179-1</v>
      </c>
      <c r="E180" s="8">
        <f>VLOOKUP(A180,'[1]S&amp;P500_DAILY'!$A$8:$B$1768,2,0)</f>
        <v>2632.56</v>
      </c>
      <c r="F180" s="1">
        <f t="shared" si="10"/>
        <v>-6.5548901291732076E-3</v>
      </c>
      <c r="G180" s="1" t="str">
        <f t="shared" ca="1" si="11"/>
        <v>=E180/E179-1</v>
      </c>
    </row>
    <row r="181" spans="1:7">
      <c r="A181" s="14">
        <v>43430</v>
      </c>
      <c r="B181" s="11">
        <f>VLOOKUP(A181,[1]HD_price_daily!$A$8:$B$1768,2,0)</f>
        <v>169.82</v>
      </c>
      <c r="C181">
        <f t="shared" si="8"/>
        <v>5.7447438554929509E-3</v>
      </c>
      <c r="D181" s="1" t="str">
        <f t="shared" ca="1" si="9"/>
        <v>=B181/B180-1</v>
      </c>
      <c r="E181" s="8">
        <f>VLOOKUP(A181,'[1]S&amp;P500_DAILY'!$A$8:$B$1768,2,0)</f>
        <v>2673.45</v>
      </c>
      <c r="F181" s="1">
        <f t="shared" si="10"/>
        <v>1.5532409517731827E-2</v>
      </c>
      <c r="G181" s="1" t="str">
        <f t="shared" ca="1" si="11"/>
        <v>=E181/E180-1</v>
      </c>
    </row>
    <row r="182" spans="1:7">
      <c r="A182" s="14">
        <v>43431</v>
      </c>
      <c r="B182" s="11">
        <f>VLOOKUP(A182,[1]HD_price_daily!$A$8:$B$1768,2,0)</f>
        <v>173.22</v>
      </c>
      <c r="C182">
        <f t="shared" si="8"/>
        <v>2.0021198916499783E-2</v>
      </c>
      <c r="D182" s="1" t="str">
        <f t="shared" ca="1" si="9"/>
        <v>=B182/B181-1</v>
      </c>
      <c r="E182" s="8">
        <f>VLOOKUP(A182,'[1]S&amp;P500_DAILY'!$A$8:$B$1768,2,0)</f>
        <v>2682.17</v>
      </c>
      <c r="F182" s="1">
        <f t="shared" si="10"/>
        <v>3.261703042884756E-3</v>
      </c>
      <c r="G182" s="1" t="str">
        <f t="shared" ca="1" si="11"/>
        <v>=E182/E181-1</v>
      </c>
    </row>
    <row r="183" spans="1:7">
      <c r="A183" s="14">
        <v>43432</v>
      </c>
      <c r="B183" s="11">
        <f>VLOOKUP(A183,[1]HD_price_daily!$A$8:$B$1768,2,0)</f>
        <v>177.43</v>
      </c>
      <c r="C183">
        <f t="shared" si="8"/>
        <v>2.4304352846091781E-2</v>
      </c>
      <c r="D183" s="1" t="str">
        <f t="shared" ca="1" si="9"/>
        <v>=B183/B182-1</v>
      </c>
      <c r="E183" s="8">
        <f>VLOOKUP(A183,'[1]S&amp;P500_DAILY'!$A$8:$B$1768,2,0)</f>
        <v>2743.79</v>
      </c>
      <c r="F183" s="1">
        <f t="shared" si="10"/>
        <v>2.297393528374414E-2</v>
      </c>
      <c r="G183" s="1" t="str">
        <f t="shared" ca="1" si="11"/>
        <v>=E183/E182-1</v>
      </c>
    </row>
    <row r="184" spans="1:7">
      <c r="A184" s="14">
        <v>43433</v>
      </c>
      <c r="B184" s="11">
        <f>VLOOKUP(A184,[1]HD_price_daily!$A$8:$B$1768,2,0)</f>
        <v>175.66</v>
      </c>
      <c r="C184">
        <f t="shared" si="8"/>
        <v>-9.9757650904582773E-3</v>
      </c>
      <c r="D184" s="1" t="str">
        <f t="shared" ca="1" si="9"/>
        <v>=B184/B183-1</v>
      </c>
      <c r="E184" s="8">
        <f>VLOOKUP(A184,'[1]S&amp;P500_DAILY'!$A$8:$B$1768,2,0)</f>
        <v>2737.76</v>
      </c>
      <c r="F184" s="1">
        <f t="shared" si="10"/>
        <v>-2.1976900564546487E-3</v>
      </c>
      <c r="G184" s="1" t="str">
        <f t="shared" ca="1" si="11"/>
        <v>=E184/E183-1</v>
      </c>
    </row>
    <row r="185" spans="1:7">
      <c r="A185" s="14">
        <v>43434</v>
      </c>
      <c r="B185" s="11">
        <f>VLOOKUP(A185,[1]HD_price_daily!$A$8:$B$1768,2,0)</f>
        <v>180.32</v>
      </c>
      <c r="C185">
        <f t="shared" si="8"/>
        <v>2.6528521006489836E-2</v>
      </c>
      <c r="D185" s="1" t="str">
        <f t="shared" ca="1" si="9"/>
        <v>=B185/B184-1</v>
      </c>
      <c r="E185" s="8">
        <f>VLOOKUP(A185,'[1]S&amp;P500_DAILY'!$A$8:$B$1768,2,0)</f>
        <v>2760.17</v>
      </c>
      <c r="F185" s="1">
        <f t="shared" si="10"/>
        <v>8.1855239319734707E-3</v>
      </c>
      <c r="G185" s="1" t="str">
        <f t="shared" ca="1" si="11"/>
        <v>=E185/E184-1</v>
      </c>
    </row>
    <row r="186" spans="1:7">
      <c r="A186" s="14">
        <v>43437</v>
      </c>
      <c r="B186" s="11">
        <f>VLOOKUP(A186,[1]HD_price_daily!$A$8:$B$1768,2,0)</f>
        <v>181.74</v>
      </c>
      <c r="C186">
        <f t="shared" si="8"/>
        <v>7.8748890860693699E-3</v>
      </c>
      <c r="D186" s="1" t="str">
        <f t="shared" ca="1" si="9"/>
        <v>=B186/B185-1</v>
      </c>
      <c r="E186" s="8">
        <f>VLOOKUP(A186,'[1]S&amp;P500_DAILY'!$A$8:$B$1768,2,0)</f>
        <v>2790.37</v>
      </c>
      <c r="F186" s="1">
        <f t="shared" si="10"/>
        <v>1.0941355061463431E-2</v>
      </c>
      <c r="G186" s="1" t="str">
        <f t="shared" ca="1" si="11"/>
        <v>=E186/E185-1</v>
      </c>
    </row>
    <row r="187" spans="1:7">
      <c r="A187" s="14">
        <v>43438</v>
      </c>
      <c r="B187" s="11">
        <f>VLOOKUP(A187,[1]HD_price_daily!$A$8:$B$1768,2,0)</f>
        <v>175.3</v>
      </c>
      <c r="C187">
        <f t="shared" si="8"/>
        <v>-3.5435237151975385E-2</v>
      </c>
      <c r="D187" s="1" t="str">
        <f t="shared" ca="1" si="9"/>
        <v>=B187/B186-1</v>
      </c>
      <c r="E187" s="8">
        <f>VLOOKUP(A187,'[1]S&amp;P500_DAILY'!$A$8:$B$1768,2,0)</f>
        <v>2700.06</v>
      </c>
      <c r="F187" s="1">
        <f t="shared" si="10"/>
        <v>-3.2364883510072162E-2</v>
      </c>
      <c r="G187" s="1" t="str">
        <f t="shared" ca="1" si="11"/>
        <v>=E187/E186-1</v>
      </c>
    </row>
    <row r="188" spans="1:7">
      <c r="A188" s="14">
        <v>43440</v>
      </c>
      <c r="B188" s="11">
        <f>VLOOKUP(A188,[1]HD_price_daily!$A$8:$B$1768,2,0)</f>
        <v>175.96</v>
      </c>
      <c r="C188">
        <f t="shared" si="8"/>
        <v>3.7649743297205607E-3</v>
      </c>
      <c r="D188" s="1" t="str">
        <f t="shared" ca="1" si="9"/>
        <v>=B188/B187-1</v>
      </c>
      <c r="E188" s="8">
        <f>VLOOKUP(A188,'[1]S&amp;P500_DAILY'!$A$8:$B$1768,2,0)</f>
        <v>2695.95</v>
      </c>
      <c r="F188" s="1">
        <f t="shared" si="10"/>
        <v>-1.5221883958135285E-3</v>
      </c>
      <c r="G188" s="1" t="str">
        <f t="shared" ca="1" si="11"/>
        <v>=E188/E187-1</v>
      </c>
    </row>
    <row r="189" spans="1:7">
      <c r="A189" s="14">
        <v>43441</v>
      </c>
      <c r="B189" s="11">
        <f>VLOOKUP(A189,[1]HD_price_daily!$A$8:$B$1768,2,0)</f>
        <v>172.79</v>
      </c>
      <c r="C189">
        <f t="shared" si="8"/>
        <v>-1.8015458058649791E-2</v>
      </c>
      <c r="D189" s="1" t="str">
        <f t="shared" ca="1" si="9"/>
        <v>=B189/B188-1</v>
      </c>
      <c r="E189" s="8">
        <f>VLOOKUP(A189,'[1]S&amp;P500_DAILY'!$A$8:$B$1768,2,0)</f>
        <v>2633.08</v>
      </c>
      <c r="F189" s="1">
        <f t="shared" si="10"/>
        <v>-2.3320165433335149E-2</v>
      </c>
      <c r="G189" s="1" t="str">
        <f t="shared" ca="1" si="11"/>
        <v>=E189/E188-1</v>
      </c>
    </row>
    <row r="190" spans="1:7">
      <c r="A190" s="14">
        <v>43444</v>
      </c>
      <c r="B190" s="11">
        <f>VLOOKUP(A190,[1]HD_price_daily!$A$8:$B$1768,2,0)</f>
        <v>171.69</v>
      </c>
      <c r="C190">
        <f t="shared" si="8"/>
        <v>-6.3661091498350419E-3</v>
      </c>
      <c r="D190" s="1" t="str">
        <f t="shared" ca="1" si="9"/>
        <v>=B190/B189-1</v>
      </c>
      <c r="E190" s="8">
        <f>VLOOKUP(A190,'[1]S&amp;P500_DAILY'!$A$8:$B$1768,2,0)</f>
        <v>2637.72</v>
      </c>
      <c r="F190" s="1">
        <f t="shared" si="10"/>
        <v>1.762194844060927E-3</v>
      </c>
      <c r="G190" s="1" t="str">
        <f t="shared" ca="1" si="11"/>
        <v>=E190/E189-1</v>
      </c>
    </row>
    <row r="191" spans="1:7">
      <c r="A191" s="14">
        <v>43445</v>
      </c>
      <c r="B191" s="11">
        <f>VLOOKUP(A191,[1]HD_price_daily!$A$8:$B$1768,2,0)</f>
        <v>172.21</v>
      </c>
      <c r="C191">
        <f t="shared" si="8"/>
        <v>3.0287145436542762E-3</v>
      </c>
      <c r="D191" s="1" t="str">
        <f t="shared" ca="1" si="9"/>
        <v>=B191/B190-1</v>
      </c>
      <c r="E191" s="8">
        <f>VLOOKUP(A191,'[1]S&amp;P500_DAILY'!$A$8:$B$1768,2,0)</f>
        <v>2636.78</v>
      </c>
      <c r="F191" s="1">
        <f t="shared" si="10"/>
        <v>-3.5636837875119287E-4</v>
      </c>
      <c r="G191" s="1" t="str">
        <f t="shared" ca="1" si="11"/>
        <v>=E191/E190-1</v>
      </c>
    </row>
    <row r="192" spans="1:7">
      <c r="A192" s="14">
        <v>43446</v>
      </c>
      <c r="B192" s="11">
        <f>VLOOKUP(A192,[1]HD_price_daily!$A$8:$B$1768,2,0)</f>
        <v>174.21</v>
      </c>
      <c r="C192">
        <f t="shared" si="8"/>
        <v>1.1613727425817233E-2</v>
      </c>
      <c r="D192" s="1" t="str">
        <f t="shared" ca="1" si="9"/>
        <v>=B192/B191-1</v>
      </c>
      <c r="E192" s="8">
        <f>VLOOKUP(A192,'[1]S&amp;P500_DAILY'!$A$8:$B$1768,2,0)</f>
        <v>2651.07</v>
      </c>
      <c r="F192" s="1">
        <f t="shared" si="10"/>
        <v>5.4194889220944287E-3</v>
      </c>
      <c r="G192" s="1" t="str">
        <f t="shared" ca="1" si="11"/>
        <v>=E192/E191-1</v>
      </c>
    </row>
    <row r="193" spans="1:7">
      <c r="A193" s="14">
        <v>43447</v>
      </c>
      <c r="B193" s="11">
        <f>VLOOKUP(A193,[1]HD_price_daily!$A$8:$B$1768,2,0)</f>
        <v>173.87</v>
      </c>
      <c r="C193">
        <f t="shared" si="8"/>
        <v>-1.9516675276964879E-3</v>
      </c>
      <c r="D193" s="1" t="str">
        <f t="shared" ca="1" si="9"/>
        <v>=B193/B192-1</v>
      </c>
      <c r="E193" s="8">
        <f>VLOOKUP(A193,'[1]S&amp;P500_DAILY'!$A$8:$B$1768,2,0)</f>
        <v>2650.54</v>
      </c>
      <c r="F193" s="1">
        <f t="shared" si="10"/>
        <v>-1.9991927787654795E-4</v>
      </c>
      <c r="G193" s="1" t="str">
        <f t="shared" ca="1" si="11"/>
        <v>=E193/E192-1</v>
      </c>
    </row>
    <row r="194" spans="1:7">
      <c r="A194" s="14">
        <v>43448</v>
      </c>
      <c r="B194" s="11">
        <f>VLOOKUP(A194,[1]HD_price_daily!$A$8:$B$1768,2,0)</f>
        <v>172.29</v>
      </c>
      <c r="C194">
        <f t="shared" si="8"/>
        <v>-9.0872490941509287E-3</v>
      </c>
      <c r="D194" s="1" t="str">
        <f t="shared" ca="1" si="9"/>
        <v>=B194/B193-1</v>
      </c>
      <c r="E194" s="8">
        <f>VLOOKUP(A194,'[1]S&amp;P500_DAILY'!$A$8:$B$1768,2,0)</f>
        <v>2599.9499999999998</v>
      </c>
      <c r="F194" s="1">
        <f t="shared" si="10"/>
        <v>-1.9086676677205427E-2</v>
      </c>
      <c r="G194" s="1" t="str">
        <f t="shared" ca="1" si="11"/>
        <v>=E194/E193-1</v>
      </c>
    </row>
    <row r="195" spans="1:7">
      <c r="A195" s="14">
        <v>43451</v>
      </c>
      <c r="B195" s="11">
        <f>VLOOKUP(A195,[1]HD_price_daily!$A$8:$B$1768,2,0)</f>
        <v>167.97</v>
      </c>
      <c r="C195">
        <f t="shared" si="8"/>
        <v>-2.5074003134250344E-2</v>
      </c>
      <c r="D195" s="1" t="str">
        <f t="shared" ca="1" si="9"/>
        <v>=B195/B194-1</v>
      </c>
      <c r="E195" s="8">
        <f>VLOOKUP(A195,'[1]S&amp;P500_DAILY'!$A$8:$B$1768,2,0)</f>
        <v>2545.94</v>
      </c>
      <c r="F195" s="1">
        <f t="shared" si="10"/>
        <v>-2.0773476413007863E-2</v>
      </c>
      <c r="G195" s="1" t="str">
        <f t="shared" ca="1" si="11"/>
        <v>=E195/E194-1</v>
      </c>
    </row>
    <row r="196" spans="1:7">
      <c r="A196" s="14">
        <v>43452</v>
      </c>
      <c r="B196" s="11">
        <f>VLOOKUP(A196,[1]HD_price_daily!$A$8:$B$1768,2,0)</f>
        <v>170.04</v>
      </c>
      <c r="C196">
        <f t="shared" ref="C196:C259" si="12">B196/B195-1</f>
        <v>1.2323629219503474E-2</v>
      </c>
      <c r="D196" s="1" t="str">
        <f t="shared" ref="D196:D259" ca="1" si="13">_xlfn.FORMULATEXT(C196)</f>
        <v>=B196/B195-1</v>
      </c>
      <c r="E196" s="8">
        <f>VLOOKUP(A196,'[1]S&amp;P500_DAILY'!$A$8:$B$1768,2,0)</f>
        <v>2546.16</v>
      </c>
      <c r="F196" s="1">
        <f t="shared" ref="F196:F259" si="14">E196/E195-1</f>
        <v>8.6412091408138991E-5</v>
      </c>
      <c r="G196" s="1" t="str">
        <f t="shared" ref="G196:G259" ca="1" si="15">_xlfn.FORMULATEXT(F196)</f>
        <v>=E196/E195-1</v>
      </c>
    </row>
    <row r="197" spans="1:7">
      <c r="A197" s="14">
        <v>43453</v>
      </c>
      <c r="B197" s="11">
        <f>VLOOKUP(A197,[1]HD_price_daily!$A$8:$B$1768,2,0)</f>
        <v>167.56</v>
      </c>
      <c r="C197">
        <f t="shared" si="12"/>
        <v>-1.458480357562919E-2</v>
      </c>
      <c r="D197" s="1" t="str">
        <f t="shared" ca="1" si="13"/>
        <v>=B197/B196-1</v>
      </c>
      <c r="E197" s="8">
        <f>VLOOKUP(A197,'[1]S&amp;P500_DAILY'!$A$8:$B$1768,2,0)</f>
        <v>2506.96</v>
      </c>
      <c r="F197" s="1">
        <f t="shared" si="14"/>
        <v>-1.5395733182517968E-2</v>
      </c>
      <c r="G197" s="1" t="str">
        <f t="shared" ca="1" si="15"/>
        <v>=E197/E196-1</v>
      </c>
    </row>
    <row r="198" spans="1:7">
      <c r="A198" s="14">
        <v>43454</v>
      </c>
      <c r="B198" s="11">
        <f>VLOOKUP(A198,[1]HD_price_daily!$A$8:$B$1768,2,0)</f>
        <v>164.16</v>
      </c>
      <c r="C198">
        <f t="shared" si="12"/>
        <v>-2.0291238959178837E-2</v>
      </c>
      <c r="D198" s="1" t="str">
        <f t="shared" ca="1" si="13"/>
        <v>=B198/B197-1</v>
      </c>
      <c r="E198" s="8">
        <f>VLOOKUP(A198,'[1]S&amp;P500_DAILY'!$A$8:$B$1768,2,0)</f>
        <v>2467.42</v>
      </c>
      <c r="F198" s="1">
        <f t="shared" si="14"/>
        <v>-1.5772090500047797E-2</v>
      </c>
      <c r="G198" s="1" t="str">
        <f t="shared" ca="1" si="15"/>
        <v>=E198/E197-1</v>
      </c>
    </row>
    <row r="199" spans="1:7">
      <c r="A199" s="14">
        <v>43455</v>
      </c>
      <c r="B199" s="11">
        <f>VLOOKUP(A199,[1]HD_price_daily!$A$8:$B$1768,2,0)</f>
        <v>160.47999999999999</v>
      </c>
      <c r="C199">
        <f t="shared" si="12"/>
        <v>-2.2417153996101447E-2</v>
      </c>
      <c r="D199" s="1" t="str">
        <f t="shared" ca="1" si="13"/>
        <v>=B199/B198-1</v>
      </c>
      <c r="E199" s="8">
        <f>VLOOKUP(A199,'[1]S&amp;P500_DAILY'!$A$8:$B$1768,2,0)</f>
        <v>2416.62</v>
      </c>
      <c r="F199" s="1">
        <f t="shared" si="14"/>
        <v>-2.0588306814405377E-2</v>
      </c>
      <c r="G199" s="1" t="str">
        <f t="shared" ca="1" si="15"/>
        <v>=E199/E198-1</v>
      </c>
    </row>
    <row r="200" spans="1:7">
      <c r="A200" s="14">
        <v>43458</v>
      </c>
      <c r="B200" s="11">
        <f>VLOOKUP(A200,[1]HD_price_daily!$A$8:$B$1768,2,0)</f>
        <v>158.13999999999999</v>
      </c>
      <c r="C200">
        <f t="shared" si="12"/>
        <v>-1.4581256231306128E-2</v>
      </c>
      <c r="D200" s="1" t="str">
        <f t="shared" ca="1" si="13"/>
        <v>=B200/B199-1</v>
      </c>
      <c r="E200" s="8">
        <f>VLOOKUP(A200,'[1]S&amp;P500_DAILY'!$A$8:$B$1768,2,0)</f>
        <v>2351.1</v>
      </c>
      <c r="F200" s="1">
        <f t="shared" si="14"/>
        <v>-2.711224768478282E-2</v>
      </c>
      <c r="G200" s="1" t="str">
        <f t="shared" ca="1" si="15"/>
        <v>=E200/E199-1</v>
      </c>
    </row>
    <row r="201" spans="1:7">
      <c r="A201" s="14">
        <v>43460</v>
      </c>
      <c r="B201" s="11">
        <f>VLOOKUP(A201,[1]HD_price_daily!$A$8:$B$1768,2,0)</f>
        <v>168.28</v>
      </c>
      <c r="C201">
        <f t="shared" si="12"/>
        <v>6.4120399645883452E-2</v>
      </c>
      <c r="D201" s="1" t="str">
        <f t="shared" ca="1" si="13"/>
        <v>=B201/B200-1</v>
      </c>
      <c r="E201" s="8">
        <f>VLOOKUP(A201,'[1]S&amp;P500_DAILY'!$A$8:$B$1768,2,0)</f>
        <v>2467.6999999999998</v>
      </c>
      <c r="F201" s="1">
        <f t="shared" si="14"/>
        <v>4.9593807154098002E-2</v>
      </c>
      <c r="G201" s="1" t="str">
        <f t="shared" ca="1" si="15"/>
        <v>=E201/E200-1</v>
      </c>
    </row>
    <row r="202" spans="1:7">
      <c r="A202" s="14">
        <v>43461</v>
      </c>
      <c r="B202" s="11">
        <f>VLOOKUP(A202,[1]HD_price_daily!$A$8:$B$1768,2,0)</f>
        <v>170.32</v>
      </c>
      <c r="C202">
        <f t="shared" si="12"/>
        <v>1.2122652721654248E-2</v>
      </c>
      <c r="D202" s="1" t="str">
        <f t="shared" ca="1" si="13"/>
        <v>=B202/B201-1</v>
      </c>
      <c r="E202" s="8">
        <f>VLOOKUP(A202,'[1]S&amp;P500_DAILY'!$A$8:$B$1768,2,0)</f>
        <v>2488.83</v>
      </c>
      <c r="F202" s="1">
        <f t="shared" si="14"/>
        <v>8.5626291688616352E-3</v>
      </c>
      <c r="G202" s="1" t="str">
        <f t="shared" ca="1" si="15"/>
        <v>=E202/E201-1</v>
      </c>
    </row>
    <row r="203" spans="1:7">
      <c r="A203" s="14">
        <v>43462</v>
      </c>
      <c r="B203" s="11">
        <f>VLOOKUP(A203,[1]HD_price_daily!$A$8:$B$1768,2,0)</f>
        <v>170.22</v>
      </c>
      <c r="C203">
        <f t="shared" si="12"/>
        <v>-5.8713010803190802E-4</v>
      </c>
      <c r="D203" s="1" t="str">
        <f t="shared" ca="1" si="13"/>
        <v>=B203/B202-1</v>
      </c>
      <c r="E203" s="8">
        <f>VLOOKUP(A203,'[1]S&amp;P500_DAILY'!$A$8:$B$1768,2,0)</f>
        <v>2485.7399999999998</v>
      </c>
      <c r="F203" s="1">
        <f t="shared" si="14"/>
        <v>-1.2415472330372657E-3</v>
      </c>
      <c r="G203" s="1" t="str">
        <f t="shared" ca="1" si="15"/>
        <v>=E203/E202-1</v>
      </c>
    </row>
    <row r="204" spans="1:7">
      <c r="A204" s="14">
        <v>43465</v>
      </c>
      <c r="B204" s="11">
        <f>VLOOKUP(A204,[1]HD_price_daily!$A$8:$B$1768,2,0)</f>
        <v>171.82</v>
      </c>
      <c r="C204">
        <f t="shared" si="12"/>
        <v>9.3996005169780794E-3</v>
      </c>
      <c r="D204" s="1" t="str">
        <f t="shared" ca="1" si="13"/>
        <v>=B204/B203-1</v>
      </c>
      <c r="E204" s="8">
        <f>VLOOKUP(A204,'[1]S&amp;P500_DAILY'!$A$8:$B$1768,2,0)</f>
        <v>2506.85</v>
      </c>
      <c r="F204" s="1">
        <f t="shared" si="14"/>
        <v>8.4924408827955489E-3</v>
      </c>
      <c r="G204" s="1" t="str">
        <f t="shared" ca="1" si="15"/>
        <v>=E204/E203-1</v>
      </c>
    </row>
    <row r="205" spans="1:7">
      <c r="A205" s="14">
        <v>43467</v>
      </c>
      <c r="B205" s="11">
        <f>VLOOKUP(A205,[1]HD_price_daily!$A$8:$B$1768,2,0)</f>
        <v>172.41</v>
      </c>
      <c r="C205">
        <f t="shared" si="12"/>
        <v>3.4338260970783185E-3</v>
      </c>
      <c r="D205" s="1" t="str">
        <f t="shared" ca="1" si="13"/>
        <v>=B205/B204-1</v>
      </c>
      <c r="E205" s="8">
        <f>VLOOKUP(A205,'[1]S&amp;P500_DAILY'!$A$8:$B$1768,2,0)</f>
        <v>2510.0300000000002</v>
      </c>
      <c r="F205" s="1">
        <f t="shared" si="14"/>
        <v>1.2685242435728217E-3</v>
      </c>
      <c r="G205" s="1" t="str">
        <f t="shared" ca="1" si="15"/>
        <v>=E205/E204-1</v>
      </c>
    </row>
    <row r="206" spans="1:7">
      <c r="A206" s="14">
        <v>43468</v>
      </c>
      <c r="B206" s="11">
        <f>VLOOKUP(A206,[1]HD_price_daily!$A$8:$B$1768,2,0)</f>
        <v>168.61</v>
      </c>
      <c r="C206">
        <f t="shared" si="12"/>
        <v>-2.2040484890667456E-2</v>
      </c>
      <c r="D206" s="1" t="str">
        <f t="shared" ca="1" si="13"/>
        <v>=B206/B205-1</v>
      </c>
      <c r="E206" s="8">
        <f>VLOOKUP(A206,'[1]S&amp;P500_DAILY'!$A$8:$B$1768,2,0)</f>
        <v>2447.89</v>
      </c>
      <c r="F206" s="1">
        <f t="shared" si="14"/>
        <v>-2.4756676215025419E-2</v>
      </c>
      <c r="G206" s="1" t="str">
        <f t="shared" ca="1" si="15"/>
        <v>=E206/E205-1</v>
      </c>
    </row>
    <row r="207" spans="1:7">
      <c r="A207" s="14">
        <v>43469</v>
      </c>
      <c r="B207" s="11">
        <f>VLOOKUP(A207,[1]HD_price_daily!$A$8:$B$1768,2,0)</f>
        <v>173.62</v>
      </c>
      <c r="C207">
        <f t="shared" si="12"/>
        <v>2.9713540122175308E-2</v>
      </c>
      <c r="D207" s="1" t="str">
        <f t="shared" ca="1" si="13"/>
        <v>=B207/B206-1</v>
      </c>
      <c r="E207" s="8">
        <f>VLOOKUP(A207,'[1]S&amp;P500_DAILY'!$A$8:$B$1768,2,0)</f>
        <v>2531.94</v>
      </c>
      <c r="F207" s="1">
        <f t="shared" si="14"/>
        <v>3.4335693188827898E-2</v>
      </c>
      <c r="G207" s="1" t="str">
        <f t="shared" ca="1" si="15"/>
        <v>=E207/E206-1</v>
      </c>
    </row>
    <row r="208" spans="1:7">
      <c r="A208" s="14">
        <v>43472</v>
      </c>
      <c r="B208" s="11">
        <f>VLOOKUP(A208,[1]HD_price_daily!$A$8:$B$1768,2,0)</f>
        <v>177.04</v>
      </c>
      <c r="C208">
        <f t="shared" si="12"/>
        <v>1.9698191452597547E-2</v>
      </c>
      <c r="D208" s="1" t="str">
        <f t="shared" ca="1" si="13"/>
        <v>=B208/B207-1</v>
      </c>
      <c r="E208" s="8">
        <f>VLOOKUP(A208,'[1]S&amp;P500_DAILY'!$A$8:$B$1768,2,0)</f>
        <v>2549.69</v>
      </c>
      <c r="F208" s="1">
        <f t="shared" si="14"/>
        <v>7.0104346864459099E-3</v>
      </c>
      <c r="G208" s="1" t="str">
        <f t="shared" ca="1" si="15"/>
        <v>=E208/E207-1</v>
      </c>
    </row>
    <row r="209" spans="1:7">
      <c r="A209" s="14">
        <v>43473</v>
      </c>
      <c r="B209" s="11">
        <f>VLOOKUP(A209,[1]HD_price_daily!$A$8:$B$1768,2,0)</f>
        <v>177.89</v>
      </c>
      <c r="C209">
        <f t="shared" si="12"/>
        <v>4.801174875734171E-3</v>
      </c>
      <c r="D209" s="1" t="str">
        <f t="shared" ca="1" si="13"/>
        <v>=B209/B208-1</v>
      </c>
      <c r="E209" s="8">
        <f>VLOOKUP(A209,'[1]S&amp;P500_DAILY'!$A$8:$B$1768,2,0)</f>
        <v>2574.41</v>
      </c>
      <c r="F209" s="1">
        <f t="shared" si="14"/>
        <v>9.6952962909215845E-3</v>
      </c>
      <c r="G209" s="1" t="str">
        <f t="shared" ca="1" si="15"/>
        <v>=E209/E208-1</v>
      </c>
    </row>
    <row r="210" spans="1:7">
      <c r="A210" s="14">
        <v>43474</v>
      </c>
      <c r="B210" s="11">
        <f>VLOOKUP(A210,[1]HD_price_daily!$A$8:$B$1768,2,0)</f>
        <v>179.73</v>
      </c>
      <c r="C210">
        <f t="shared" si="12"/>
        <v>1.0343470684130773E-2</v>
      </c>
      <c r="D210" s="1" t="str">
        <f t="shared" ca="1" si="13"/>
        <v>=B210/B209-1</v>
      </c>
      <c r="E210" s="8">
        <f>VLOOKUP(A210,'[1]S&amp;P500_DAILY'!$A$8:$B$1768,2,0)</f>
        <v>2584.96</v>
      </c>
      <c r="F210" s="1">
        <f t="shared" si="14"/>
        <v>4.0980263439003295E-3</v>
      </c>
      <c r="G210" s="1" t="str">
        <f t="shared" ca="1" si="15"/>
        <v>=E210/E209-1</v>
      </c>
    </row>
    <row r="211" spans="1:7">
      <c r="A211" s="14">
        <v>43475</v>
      </c>
      <c r="B211" s="11">
        <f>VLOOKUP(A211,[1]HD_price_daily!$A$8:$B$1768,2,0)</f>
        <v>179.06</v>
      </c>
      <c r="C211">
        <f t="shared" si="12"/>
        <v>-3.7278139431368151E-3</v>
      </c>
      <c r="D211" s="1" t="str">
        <f t="shared" ca="1" si="13"/>
        <v>=B211/B210-1</v>
      </c>
      <c r="E211" s="8">
        <f>VLOOKUP(A211,'[1]S&amp;P500_DAILY'!$A$8:$B$1768,2,0)</f>
        <v>2596.64</v>
      </c>
      <c r="F211" s="1">
        <f t="shared" si="14"/>
        <v>4.5184451596929076E-3</v>
      </c>
      <c r="G211" s="1" t="str">
        <f t="shared" ca="1" si="15"/>
        <v>=E211/E210-1</v>
      </c>
    </row>
    <row r="212" spans="1:7">
      <c r="A212" s="14">
        <v>43476</v>
      </c>
      <c r="B212" s="11">
        <f>VLOOKUP(A212,[1]HD_price_daily!$A$8:$B$1768,2,0)</f>
        <v>179.41</v>
      </c>
      <c r="C212">
        <f t="shared" si="12"/>
        <v>1.9546520719311289E-3</v>
      </c>
      <c r="D212" s="1" t="str">
        <f t="shared" ca="1" si="13"/>
        <v>=B212/B211-1</v>
      </c>
      <c r="E212" s="8">
        <f>VLOOKUP(A212,'[1]S&amp;P500_DAILY'!$A$8:$B$1768,2,0)</f>
        <v>2596.2600000000002</v>
      </c>
      <c r="F212" s="1">
        <f t="shared" si="14"/>
        <v>-1.4634296629478794E-4</v>
      </c>
      <c r="G212" s="1" t="str">
        <f t="shared" ca="1" si="15"/>
        <v>=E212/E211-1</v>
      </c>
    </row>
    <row r="213" spans="1:7">
      <c r="A213" s="14">
        <v>43479</v>
      </c>
      <c r="B213" s="11">
        <f>VLOOKUP(A213,[1]HD_price_daily!$A$8:$B$1768,2,0)</f>
        <v>178.81</v>
      </c>
      <c r="C213">
        <f t="shared" si="12"/>
        <v>-3.3442951897887374E-3</v>
      </c>
      <c r="D213" s="1" t="str">
        <f t="shared" ca="1" si="13"/>
        <v>=B213/B212-1</v>
      </c>
      <c r="E213" s="8">
        <f>VLOOKUP(A213,'[1]S&amp;P500_DAILY'!$A$8:$B$1768,2,0)</f>
        <v>2582.61</v>
      </c>
      <c r="F213" s="1">
        <f t="shared" si="14"/>
        <v>-5.2575628018766141E-3</v>
      </c>
      <c r="G213" s="1" t="str">
        <f t="shared" ca="1" si="15"/>
        <v>=E213/E212-1</v>
      </c>
    </row>
    <row r="214" spans="1:7">
      <c r="A214" s="14">
        <v>43480</v>
      </c>
      <c r="B214" s="11">
        <f>VLOOKUP(A214,[1]HD_price_daily!$A$8:$B$1768,2,0)</f>
        <v>176.47</v>
      </c>
      <c r="C214">
        <f t="shared" si="12"/>
        <v>-1.308651641407077E-2</v>
      </c>
      <c r="D214" s="1" t="str">
        <f t="shared" ca="1" si="13"/>
        <v>=B214/B213-1</v>
      </c>
      <c r="E214" s="8">
        <f>VLOOKUP(A214,'[1]S&amp;P500_DAILY'!$A$8:$B$1768,2,0)</f>
        <v>2610.3000000000002</v>
      </c>
      <c r="F214" s="1">
        <f t="shared" si="14"/>
        <v>1.0721711756711327E-2</v>
      </c>
      <c r="G214" s="1" t="str">
        <f t="shared" ca="1" si="15"/>
        <v>=E214/E213-1</v>
      </c>
    </row>
    <row r="215" spans="1:7">
      <c r="A215" s="14">
        <v>43481</v>
      </c>
      <c r="B215" s="11">
        <f>VLOOKUP(A215,[1]HD_price_daily!$A$8:$B$1768,2,0)</f>
        <v>177.04</v>
      </c>
      <c r="C215">
        <f t="shared" si="12"/>
        <v>3.2300107667024847E-3</v>
      </c>
      <c r="D215" s="1" t="str">
        <f t="shared" ca="1" si="13"/>
        <v>=B215/B214-1</v>
      </c>
      <c r="E215" s="8">
        <f>VLOOKUP(A215,'[1]S&amp;P500_DAILY'!$A$8:$B$1768,2,0)</f>
        <v>2616.1</v>
      </c>
      <c r="F215" s="1">
        <f t="shared" si="14"/>
        <v>2.2219668237366541E-3</v>
      </c>
      <c r="G215" s="1" t="str">
        <f t="shared" ca="1" si="15"/>
        <v>=E215/E214-1</v>
      </c>
    </row>
    <row r="216" spans="1:7">
      <c r="A216" s="14">
        <v>43482</v>
      </c>
      <c r="B216" s="11">
        <f>VLOOKUP(A216,[1]HD_price_daily!$A$8:$B$1768,2,0)</f>
        <v>174.87</v>
      </c>
      <c r="C216">
        <f t="shared" si="12"/>
        <v>-1.2257117035698095E-2</v>
      </c>
      <c r="D216" s="1" t="str">
        <f t="shared" ca="1" si="13"/>
        <v>=B216/B215-1</v>
      </c>
      <c r="E216" s="8">
        <f>VLOOKUP(A216,'[1]S&amp;P500_DAILY'!$A$8:$B$1768,2,0)</f>
        <v>2635.96</v>
      </c>
      <c r="F216" s="1">
        <f t="shared" si="14"/>
        <v>7.5914529261114083E-3</v>
      </c>
      <c r="G216" s="1" t="str">
        <f t="shared" ca="1" si="15"/>
        <v>=E216/E215-1</v>
      </c>
    </row>
    <row r="217" spans="1:7">
      <c r="A217" s="14">
        <v>43483</v>
      </c>
      <c r="B217" s="11">
        <f>VLOOKUP(A217,[1]HD_price_daily!$A$8:$B$1768,2,0)</f>
        <v>179.58</v>
      </c>
      <c r="C217">
        <f t="shared" si="12"/>
        <v>2.6934294047006313E-2</v>
      </c>
      <c r="D217" s="1" t="str">
        <f t="shared" ca="1" si="13"/>
        <v>=B217/B216-1</v>
      </c>
      <c r="E217" s="8">
        <f>VLOOKUP(A217,'[1]S&amp;P500_DAILY'!$A$8:$B$1768,2,0)</f>
        <v>2670.71</v>
      </c>
      <c r="F217" s="1">
        <f t="shared" si="14"/>
        <v>1.3183052853609212E-2</v>
      </c>
      <c r="G217" s="1" t="str">
        <f t="shared" ca="1" si="15"/>
        <v>=E217/E216-1</v>
      </c>
    </row>
    <row r="218" spans="1:7">
      <c r="A218" s="14">
        <v>43487</v>
      </c>
      <c r="B218" s="11">
        <f>VLOOKUP(A218,[1]HD_price_daily!$A$8:$B$1768,2,0)</f>
        <v>177.11</v>
      </c>
      <c r="C218">
        <f t="shared" si="12"/>
        <v>-1.3754315625348013E-2</v>
      </c>
      <c r="D218" s="1" t="str">
        <f t="shared" ca="1" si="13"/>
        <v>=B218/B217-1</v>
      </c>
      <c r="E218" s="8">
        <f>VLOOKUP(A218,'[1]S&amp;P500_DAILY'!$A$8:$B$1768,2,0)</f>
        <v>2632.9</v>
      </c>
      <c r="F218" s="1">
        <f t="shared" si="14"/>
        <v>-1.4157284018107563E-2</v>
      </c>
      <c r="G218" s="1" t="str">
        <f t="shared" ca="1" si="15"/>
        <v>=E218/E217-1</v>
      </c>
    </row>
    <row r="219" spans="1:7">
      <c r="A219" s="14">
        <v>43488</v>
      </c>
      <c r="B219" s="11">
        <f>VLOOKUP(A219,[1]HD_price_daily!$A$8:$B$1768,2,0)</f>
        <v>176.89</v>
      </c>
      <c r="C219">
        <f t="shared" si="12"/>
        <v>-1.2421658856079931E-3</v>
      </c>
      <c r="D219" s="1" t="str">
        <f t="shared" ca="1" si="13"/>
        <v>=B219/B218-1</v>
      </c>
      <c r="E219" s="8">
        <f>VLOOKUP(A219,'[1]S&amp;P500_DAILY'!$A$8:$B$1768,2,0)</f>
        <v>2638.7</v>
      </c>
      <c r="F219" s="1">
        <f t="shared" si="14"/>
        <v>2.2028941471379238E-3</v>
      </c>
      <c r="G219" s="1" t="str">
        <f t="shared" ca="1" si="15"/>
        <v>=E219/E218-1</v>
      </c>
    </row>
    <row r="220" spans="1:7">
      <c r="A220" s="14">
        <v>43489</v>
      </c>
      <c r="B220" s="11">
        <f>VLOOKUP(A220,[1]HD_price_daily!$A$8:$B$1768,2,0)</f>
        <v>177.29</v>
      </c>
      <c r="C220">
        <f t="shared" si="12"/>
        <v>2.261292328565867E-3</v>
      </c>
      <c r="D220" s="1" t="str">
        <f t="shared" ca="1" si="13"/>
        <v>=B220/B219-1</v>
      </c>
      <c r="E220" s="8">
        <f>VLOOKUP(A220,'[1]S&amp;P500_DAILY'!$A$8:$B$1768,2,0)</f>
        <v>2642.33</v>
      </c>
      <c r="F220" s="1">
        <f t="shared" si="14"/>
        <v>1.3756774169098041E-3</v>
      </c>
      <c r="G220" s="1" t="str">
        <f t="shared" ca="1" si="15"/>
        <v>=E220/E219-1</v>
      </c>
    </row>
    <row r="221" spans="1:7">
      <c r="A221" s="14">
        <v>43490</v>
      </c>
      <c r="B221" s="11">
        <f>VLOOKUP(A221,[1]HD_price_daily!$A$8:$B$1768,2,0)</f>
        <v>180.4</v>
      </c>
      <c r="C221">
        <f t="shared" si="12"/>
        <v>1.7541880534717169E-2</v>
      </c>
      <c r="D221" s="1" t="str">
        <f t="shared" ca="1" si="13"/>
        <v>=B221/B220-1</v>
      </c>
      <c r="E221" s="8">
        <f>VLOOKUP(A221,'[1]S&amp;P500_DAILY'!$A$8:$B$1768,2,0)</f>
        <v>2664.76</v>
      </c>
      <c r="F221" s="1">
        <f t="shared" si="14"/>
        <v>8.4887201825663006E-3</v>
      </c>
      <c r="G221" s="1" t="str">
        <f t="shared" ca="1" si="15"/>
        <v>=E221/E220-1</v>
      </c>
    </row>
    <row r="222" spans="1:7">
      <c r="A222" s="14">
        <v>43493</v>
      </c>
      <c r="B222" s="11">
        <f>VLOOKUP(A222,[1]HD_price_daily!$A$8:$B$1768,2,0)</f>
        <v>179.83</v>
      </c>
      <c r="C222">
        <f t="shared" si="12"/>
        <v>-3.1596452328159774E-3</v>
      </c>
      <c r="D222" s="1" t="str">
        <f t="shared" ca="1" si="13"/>
        <v>=B222/B221-1</v>
      </c>
      <c r="E222" s="8">
        <f>VLOOKUP(A222,'[1]S&amp;P500_DAILY'!$A$8:$B$1768,2,0)</f>
        <v>2643.85</v>
      </c>
      <c r="F222" s="1">
        <f t="shared" si="14"/>
        <v>-7.8468605052613993E-3</v>
      </c>
      <c r="G222" s="1" t="str">
        <f t="shared" ca="1" si="15"/>
        <v>=E222/E221-1</v>
      </c>
    </row>
    <row r="223" spans="1:7">
      <c r="A223" s="14">
        <v>43494</v>
      </c>
      <c r="B223" s="11">
        <f>VLOOKUP(A223,[1]HD_price_daily!$A$8:$B$1768,2,0)</f>
        <v>179.69</v>
      </c>
      <c r="C223">
        <f t="shared" si="12"/>
        <v>-7.7851304009346478E-4</v>
      </c>
      <c r="D223" s="1" t="str">
        <f t="shared" ca="1" si="13"/>
        <v>=B223/B222-1</v>
      </c>
      <c r="E223" s="8">
        <f>VLOOKUP(A223,'[1]S&amp;P500_DAILY'!$A$8:$B$1768,2,0)</f>
        <v>2640</v>
      </c>
      <c r="F223" s="1">
        <f t="shared" si="14"/>
        <v>-1.4562096941959091E-3</v>
      </c>
      <c r="G223" s="1" t="str">
        <f t="shared" ca="1" si="15"/>
        <v>=E223/E222-1</v>
      </c>
    </row>
    <row r="224" spans="1:7">
      <c r="A224" s="14">
        <v>43495</v>
      </c>
      <c r="B224" s="11">
        <f>VLOOKUP(A224,[1]HD_price_daily!$A$8:$B$1768,2,0)</f>
        <v>182.18</v>
      </c>
      <c r="C224">
        <f t="shared" si="12"/>
        <v>1.3857198508542501E-2</v>
      </c>
      <c r="D224" s="1" t="str">
        <f t="shared" ca="1" si="13"/>
        <v>=B224/B223-1</v>
      </c>
      <c r="E224" s="8">
        <f>VLOOKUP(A224,'[1]S&amp;P500_DAILY'!$A$8:$B$1768,2,0)</f>
        <v>2681.05</v>
      </c>
      <c r="F224" s="1">
        <f t="shared" si="14"/>
        <v>1.5549242424242493E-2</v>
      </c>
      <c r="G224" s="1" t="str">
        <f t="shared" ca="1" si="15"/>
        <v>=E224/E223-1</v>
      </c>
    </row>
    <row r="225" spans="1:7">
      <c r="A225" s="14">
        <v>43496</v>
      </c>
      <c r="B225" s="11">
        <f>VLOOKUP(A225,[1]HD_price_daily!$A$8:$B$1768,2,0)</f>
        <v>183.53</v>
      </c>
      <c r="C225">
        <f t="shared" si="12"/>
        <v>7.4102535953453064E-3</v>
      </c>
      <c r="D225" s="1" t="str">
        <f t="shared" ca="1" si="13"/>
        <v>=B225/B224-1</v>
      </c>
      <c r="E225" s="8">
        <f>VLOOKUP(A225,'[1]S&amp;P500_DAILY'!$A$8:$B$1768,2,0)</f>
        <v>2704.1</v>
      </c>
      <c r="F225" s="1">
        <f t="shared" si="14"/>
        <v>8.5973778929895328E-3</v>
      </c>
      <c r="G225" s="1" t="str">
        <f t="shared" ca="1" si="15"/>
        <v>=E225/E224-1</v>
      </c>
    </row>
    <row r="226" spans="1:7">
      <c r="A226" s="14">
        <v>43497</v>
      </c>
      <c r="B226" s="11">
        <f>VLOOKUP(A226,[1]HD_price_daily!$A$8:$B$1768,2,0)</f>
        <v>184.37</v>
      </c>
      <c r="C226">
        <f t="shared" si="12"/>
        <v>4.5769084073448152E-3</v>
      </c>
      <c r="D226" s="1" t="str">
        <f t="shared" ca="1" si="13"/>
        <v>=B226/B225-1</v>
      </c>
      <c r="E226" s="8">
        <f>VLOOKUP(A226,'[1]S&amp;P500_DAILY'!$A$8:$B$1768,2,0)</f>
        <v>2706.53</v>
      </c>
      <c r="F226" s="1">
        <f t="shared" si="14"/>
        <v>8.98635405495396E-4</v>
      </c>
      <c r="G226" s="1" t="str">
        <f t="shared" ca="1" si="15"/>
        <v>=E226/E225-1</v>
      </c>
    </row>
    <row r="227" spans="1:7">
      <c r="A227" s="14">
        <v>43500</v>
      </c>
      <c r="B227" s="11">
        <f>VLOOKUP(A227,[1]HD_price_daily!$A$8:$B$1768,2,0)</f>
        <v>186.43</v>
      </c>
      <c r="C227">
        <f t="shared" si="12"/>
        <v>1.1173184357541999E-2</v>
      </c>
      <c r="D227" s="1" t="str">
        <f t="shared" ca="1" si="13"/>
        <v>=B227/B226-1</v>
      </c>
      <c r="E227" s="8">
        <f>VLOOKUP(A227,'[1]S&amp;P500_DAILY'!$A$8:$B$1768,2,0)</f>
        <v>2724.87</v>
      </c>
      <c r="F227" s="1">
        <f t="shared" si="14"/>
        <v>6.7762042172079262E-3</v>
      </c>
      <c r="G227" s="1" t="str">
        <f t="shared" ca="1" si="15"/>
        <v>=E227/E226-1</v>
      </c>
    </row>
    <row r="228" spans="1:7">
      <c r="A228" s="14">
        <v>43501</v>
      </c>
      <c r="B228" s="11">
        <f>VLOOKUP(A228,[1]HD_price_daily!$A$8:$B$1768,2,0)</f>
        <v>186.39</v>
      </c>
      <c r="C228">
        <f t="shared" si="12"/>
        <v>-2.1455774285261686E-4</v>
      </c>
      <c r="D228" s="1" t="str">
        <f t="shared" ca="1" si="13"/>
        <v>=B228/B227-1</v>
      </c>
      <c r="E228" s="8">
        <f>VLOOKUP(A228,'[1]S&amp;P500_DAILY'!$A$8:$B$1768,2,0)</f>
        <v>2737.7</v>
      </c>
      <c r="F228" s="1">
        <f t="shared" si="14"/>
        <v>4.7084815055395968E-3</v>
      </c>
      <c r="G228" s="1" t="str">
        <f t="shared" ca="1" si="15"/>
        <v>=E228/E227-1</v>
      </c>
    </row>
    <row r="229" spans="1:7">
      <c r="A229" s="14">
        <v>43502</v>
      </c>
      <c r="B229" s="11">
        <f>VLOOKUP(A229,[1]HD_price_daily!$A$8:$B$1768,2,0)</f>
        <v>184.72</v>
      </c>
      <c r="C229">
        <f t="shared" si="12"/>
        <v>-8.9597081388486099E-3</v>
      </c>
      <c r="D229" s="1" t="str">
        <f t="shared" ca="1" si="13"/>
        <v>=B229/B228-1</v>
      </c>
      <c r="E229" s="8">
        <f>VLOOKUP(A229,'[1]S&amp;P500_DAILY'!$A$8:$B$1768,2,0)</f>
        <v>2731.61</v>
      </c>
      <c r="F229" s="1">
        <f t="shared" si="14"/>
        <v>-2.224495014062744E-3</v>
      </c>
      <c r="G229" s="1" t="str">
        <f t="shared" ca="1" si="15"/>
        <v>=E229/E228-1</v>
      </c>
    </row>
    <row r="230" spans="1:7">
      <c r="A230" s="14">
        <v>43503</v>
      </c>
      <c r="B230" s="11">
        <f>VLOOKUP(A230,[1]HD_price_daily!$A$8:$B$1768,2,0)</f>
        <v>184.07</v>
      </c>
      <c r="C230">
        <f t="shared" si="12"/>
        <v>-3.5188393243829053E-3</v>
      </c>
      <c r="D230" s="1" t="str">
        <f t="shared" ca="1" si="13"/>
        <v>=B230/B229-1</v>
      </c>
      <c r="E230" s="8">
        <f>VLOOKUP(A230,'[1]S&amp;P500_DAILY'!$A$8:$B$1768,2,0)</f>
        <v>2706.05</v>
      </c>
      <c r="F230" s="1">
        <f t="shared" si="14"/>
        <v>-9.3571190616522637E-3</v>
      </c>
      <c r="G230" s="1" t="str">
        <f t="shared" ca="1" si="15"/>
        <v>=E230/E229-1</v>
      </c>
    </row>
    <row r="231" spans="1:7">
      <c r="A231" s="14">
        <v>43504</v>
      </c>
      <c r="B231" s="11">
        <f>VLOOKUP(A231,[1]HD_price_daily!$A$8:$B$1768,2,0)</f>
        <v>184.54</v>
      </c>
      <c r="C231">
        <f t="shared" si="12"/>
        <v>2.5533764328788955E-3</v>
      </c>
      <c r="D231" s="1" t="str">
        <f t="shared" ca="1" si="13"/>
        <v>=B231/B230-1</v>
      </c>
      <c r="E231" s="8">
        <f>VLOOKUP(A231,'[1]S&amp;P500_DAILY'!$A$8:$B$1768,2,0)</f>
        <v>2707.88</v>
      </c>
      <c r="F231" s="1">
        <f t="shared" si="14"/>
        <v>6.7626244895691023E-4</v>
      </c>
      <c r="G231" s="1" t="str">
        <f t="shared" ca="1" si="15"/>
        <v>=E231/E230-1</v>
      </c>
    </row>
    <row r="232" spans="1:7">
      <c r="A232" s="14">
        <v>43507</v>
      </c>
      <c r="B232" s="11">
        <f>VLOOKUP(A232,[1]HD_price_daily!$A$8:$B$1768,2,0)</f>
        <v>182.92</v>
      </c>
      <c r="C232">
        <f t="shared" si="12"/>
        <v>-8.7785845887070613E-3</v>
      </c>
      <c r="D232" s="1" t="str">
        <f t="shared" ca="1" si="13"/>
        <v>=B232/B231-1</v>
      </c>
      <c r="E232" s="8">
        <f>VLOOKUP(A232,'[1]S&amp;P500_DAILY'!$A$8:$B$1768,2,0)</f>
        <v>2709.8</v>
      </c>
      <c r="F232" s="1">
        <f t="shared" si="14"/>
        <v>7.0904175960539995E-4</v>
      </c>
      <c r="G232" s="1" t="str">
        <f t="shared" ca="1" si="15"/>
        <v>=E232/E231-1</v>
      </c>
    </row>
    <row r="233" spans="1:7">
      <c r="A233" s="14">
        <v>43508</v>
      </c>
      <c r="B233" s="11">
        <f>VLOOKUP(A233,[1]HD_price_daily!$A$8:$B$1768,2,0)</f>
        <v>185.52</v>
      </c>
      <c r="C233">
        <f t="shared" si="12"/>
        <v>1.4213863984255504E-2</v>
      </c>
      <c r="D233" s="1" t="str">
        <f t="shared" ca="1" si="13"/>
        <v>=B233/B232-1</v>
      </c>
      <c r="E233" s="8">
        <f>VLOOKUP(A233,'[1]S&amp;P500_DAILY'!$A$8:$B$1768,2,0)</f>
        <v>2744.73</v>
      </c>
      <c r="F233" s="1">
        <f t="shared" si="14"/>
        <v>1.2890250202966858E-2</v>
      </c>
      <c r="G233" s="1" t="str">
        <f t="shared" ca="1" si="15"/>
        <v>=E233/E232-1</v>
      </c>
    </row>
    <row r="234" spans="1:7">
      <c r="A234" s="14">
        <v>43509</v>
      </c>
      <c r="B234" s="11">
        <f>VLOOKUP(A234,[1]HD_price_daily!$A$8:$B$1768,2,0)</f>
        <v>188.41</v>
      </c>
      <c r="C234">
        <f t="shared" si="12"/>
        <v>1.5577835273824947E-2</v>
      </c>
      <c r="D234" s="1" t="str">
        <f t="shared" ca="1" si="13"/>
        <v>=B234/B233-1</v>
      </c>
      <c r="E234" s="8">
        <f>VLOOKUP(A234,'[1]S&amp;P500_DAILY'!$A$8:$B$1768,2,0)</f>
        <v>2753.03</v>
      </c>
      <c r="F234" s="1">
        <f t="shared" si="14"/>
        <v>3.0239768574686909E-3</v>
      </c>
      <c r="G234" s="1" t="str">
        <f t="shared" ca="1" si="15"/>
        <v>=E234/E233-1</v>
      </c>
    </row>
    <row r="235" spans="1:7">
      <c r="A235" s="14">
        <v>43510</v>
      </c>
      <c r="B235" s="11">
        <f>VLOOKUP(A235,[1]HD_price_daily!$A$8:$B$1768,2,0)</f>
        <v>187.71</v>
      </c>
      <c r="C235">
        <f t="shared" si="12"/>
        <v>-3.7153017355766593E-3</v>
      </c>
      <c r="D235" s="1" t="str">
        <f t="shared" ca="1" si="13"/>
        <v>=B235/B234-1</v>
      </c>
      <c r="E235" s="8">
        <f>VLOOKUP(A235,'[1]S&amp;P500_DAILY'!$A$8:$B$1768,2,0)</f>
        <v>2745.73</v>
      </c>
      <c r="F235" s="1">
        <f t="shared" si="14"/>
        <v>-2.6516238471793185E-3</v>
      </c>
      <c r="G235" s="1" t="str">
        <f t="shared" ca="1" si="15"/>
        <v>=E235/E234-1</v>
      </c>
    </row>
    <row r="236" spans="1:7">
      <c r="A236" s="14">
        <v>43511</v>
      </c>
      <c r="B236" s="11">
        <f>VLOOKUP(A236,[1]HD_price_daily!$A$8:$B$1768,2,0)</f>
        <v>192.39</v>
      </c>
      <c r="C236">
        <f t="shared" si="12"/>
        <v>2.4932076074796194E-2</v>
      </c>
      <c r="D236" s="1" t="str">
        <f t="shared" ca="1" si="13"/>
        <v>=B236/B235-1</v>
      </c>
      <c r="E236" s="8">
        <f>VLOOKUP(A236,'[1]S&amp;P500_DAILY'!$A$8:$B$1768,2,0)</f>
        <v>2775.6</v>
      </c>
      <c r="F236" s="1">
        <f t="shared" si="14"/>
        <v>1.0878709851296353E-2</v>
      </c>
      <c r="G236" s="1" t="str">
        <f t="shared" ca="1" si="15"/>
        <v>=E236/E235-1</v>
      </c>
    </row>
    <row r="237" spans="1:7">
      <c r="A237" s="14">
        <v>43515</v>
      </c>
      <c r="B237" s="11">
        <f>VLOOKUP(A237,[1]HD_price_daily!$A$8:$B$1768,2,0)</f>
        <v>192.33</v>
      </c>
      <c r="C237">
        <f t="shared" si="12"/>
        <v>-3.1186652112880076E-4</v>
      </c>
      <c r="D237" s="1" t="str">
        <f t="shared" ca="1" si="13"/>
        <v>=B237/B236-1</v>
      </c>
      <c r="E237" s="8">
        <f>VLOOKUP(A237,'[1]S&amp;P500_DAILY'!$A$8:$B$1768,2,0)</f>
        <v>2779.76</v>
      </c>
      <c r="F237" s="1">
        <f t="shared" si="14"/>
        <v>1.4987750396311394E-3</v>
      </c>
      <c r="G237" s="1" t="str">
        <f t="shared" ca="1" si="15"/>
        <v>=E237/E236-1</v>
      </c>
    </row>
    <row r="238" spans="1:7">
      <c r="A238" s="14">
        <v>43516</v>
      </c>
      <c r="B238" s="11">
        <f>VLOOKUP(A238,[1]HD_price_daily!$A$8:$B$1768,2,0)</f>
        <v>191.85</v>
      </c>
      <c r="C238">
        <f t="shared" si="12"/>
        <v>-2.4957104975823485E-3</v>
      </c>
      <c r="D238" s="1" t="str">
        <f t="shared" ca="1" si="13"/>
        <v>=B238/B237-1</v>
      </c>
      <c r="E238" s="8">
        <f>VLOOKUP(A238,'[1]S&amp;P500_DAILY'!$A$8:$B$1768,2,0)</f>
        <v>2784.7</v>
      </c>
      <c r="F238" s="1">
        <f t="shared" si="14"/>
        <v>1.7771318387196366E-3</v>
      </c>
      <c r="G238" s="1" t="str">
        <f t="shared" ca="1" si="15"/>
        <v>=E238/E237-1</v>
      </c>
    </row>
    <row r="239" spans="1:7">
      <c r="A239" s="14">
        <v>43517</v>
      </c>
      <c r="B239" s="11">
        <f>VLOOKUP(A239,[1]HD_price_daily!$A$8:$B$1768,2,0)</f>
        <v>191.82</v>
      </c>
      <c r="C239">
        <f t="shared" si="12"/>
        <v>-1.5637216575448143E-4</v>
      </c>
      <c r="D239" s="1" t="str">
        <f t="shared" ca="1" si="13"/>
        <v>=B239/B238-1</v>
      </c>
      <c r="E239" s="8">
        <f>VLOOKUP(A239,'[1]S&amp;P500_DAILY'!$A$8:$B$1768,2,0)</f>
        <v>2774.88</v>
      </c>
      <c r="F239" s="1">
        <f t="shared" si="14"/>
        <v>-3.526412180845262E-3</v>
      </c>
      <c r="G239" s="1" t="str">
        <f t="shared" ca="1" si="15"/>
        <v>=E239/E238-1</v>
      </c>
    </row>
    <row r="240" spans="1:7">
      <c r="A240" s="14">
        <v>43518</v>
      </c>
      <c r="B240" s="11">
        <f>VLOOKUP(A240,[1]HD_price_daily!$A$8:$B$1768,2,0)</f>
        <v>192.39</v>
      </c>
      <c r="C240">
        <f t="shared" si="12"/>
        <v>2.9715358148263427E-3</v>
      </c>
      <c r="D240" s="1" t="str">
        <f t="shared" ca="1" si="13"/>
        <v>=B240/B239-1</v>
      </c>
      <c r="E240" s="8">
        <f>VLOOKUP(A240,'[1]S&amp;P500_DAILY'!$A$8:$B$1768,2,0)</f>
        <v>2792.67</v>
      </c>
      <c r="F240" s="1">
        <f t="shared" si="14"/>
        <v>6.4110880470507059E-3</v>
      </c>
      <c r="G240" s="1" t="str">
        <f t="shared" ca="1" si="15"/>
        <v>=E240/E239-1</v>
      </c>
    </row>
    <row r="241" spans="1:7">
      <c r="A241" s="14">
        <v>43521</v>
      </c>
      <c r="B241" s="11">
        <f>VLOOKUP(A241,[1]HD_price_daily!$A$8:$B$1768,2,0)</f>
        <v>189.98</v>
      </c>
      <c r="C241">
        <f t="shared" si="12"/>
        <v>-1.2526638598679751E-2</v>
      </c>
      <c r="D241" s="1" t="str">
        <f t="shared" ca="1" si="13"/>
        <v>=B241/B240-1</v>
      </c>
      <c r="E241" s="8">
        <f>VLOOKUP(A241,'[1]S&amp;P500_DAILY'!$A$8:$B$1768,2,0)</f>
        <v>2796.11</v>
      </c>
      <c r="F241" s="1">
        <f t="shared" si="14"/>
        <v>1.2317960947767492E-3</v>
      </c>
      <c r="G241" s="1" t="str">
        <f t="shared" ca="1" si="15"/>
        <v>=E241/E240-1</v>
      </c>
    </row>
    <row r="242" spans="1:7">
      <c r="A242" s="14">
        <v>43522</v>
      </c>
      <c r="B242" s="11">
        <f>VLOOKUP(A242,[1]HD_price_daily!$A$8:$B$1768,2,0)</f>
        <v>188.3</v>
      </c>
      <c r="C242">
        <f t="shared" si="12"/>
        <v>-8.8430361090640064E-3</v>
      </c>
      <c r="D242" s="1" t="str">
        <f t="shared" ca="1" si="13"/>
        <v>=B242/B241-1</v>
      </c>
      <c r="E242" s="8">
        <f>VLOOKUP(A242,'[1]S&amp;P500_DAILY'!$A$8:$B$1768,2,0)</f>
        <v>2793.9</v>
      </c>
      <c r="F242" s="1">
        <f t="shared" si="14"/>
        <v>-7.9038378318452285E-4</v>
      </c>
      <c r="G242" s="1" t="str">
        <f t="shared" ca="1" si="15"/>
        <v>=E242/E241-1</v>
      </c>
    </row>
    <row r="243" spans="1:7">
      <c r="A243" s="14">
        <v>43523</v>
      </c>
      <c r="B243" s="11">
        <f>VLOOKUP(A243,[1]HD_price_daily!$A$8:$B$1768,2,0)</f>
        <v>183.67</v>
      </c>
      <c r="C243">
        <f t="shared" si="12"/>
        <v>-2.4588422729686754E-2</v>
      </c>
      <c r="D243" s="1" t="str">
        <f t="shared" ca="1" si="13"/>
        <v>=B243/B242-1</v>
      </c>
      <c r="E243" s="8">
        <f>VLOOKUP(A243,'[1]S&amp;P500_DAILY'!$A$8:$B$1768,2,0)</f>
        <v>2792.38</v>
      </c>
      <c r="F243" s="1">
        <f t="shared" si="14"/>
        <v>-5.4404237803784561E-4</v>
      </c>
      <c r="G243" s="1" t="str">
        <f t="shared" ca="1" si="15"/>
        <v>=E243/E242-1</v>
      </c>
    </row>
    <row r="244" spans="1:7">
      <c r="A244" s="14">
        <v>43524</v>
      </c>
      <c r="B244" s="11">
        <f>VLOOKUP(A244,[1]HD_price_daily!$A$8:$B$1768,2,0)</f>
        <v>185.14</v>
      </c>
      <c r="C244">
        <f t="shared" si="12"/>
        <v>8.0034845102630037E-3</v>
      </c>
      <c r="D244" s="1" t="str">
        <f t="shared" ca="1" si="13"/>
        <v>=B244/B243-1</v>
      </c>
      <c r="E244" s="8">
        <f>VLOOKUP(A244,'[1]S&amp;P500_DAILY'!$A$8:$B$1768,2,0)</f>
        <v>2784.49</v>
      </c>
      <c r="F244" s="1">
        <f t="shared" si="14"/>
        <v>-2.8255466662847617E-3</v>
      </c>
      <c r="G244" s="1" t="str">
        <f t="shared" ca="1" si="15"/>
        <v>=E244/E243-1</v>
      </c>
    </row>
    <row r="245" spans="1:7">
      <c r="A245" s="14">
        <v>43525</v>
      </c>
      <c r="B245" s="11">
        <f>VLOOKUP(A245,[1]HD_price_daily!$A$8:$B$1768,2,0)</f>
        <v>185.17</v>
      </c>
      <c r="C245">
        <f t="shared" si="12"/>
        <v>1.6203953764715173E-4</v>
      </c>
      <c r="D245" s="1" t="str">
        <f t="shared" ca="1" si="13"/>
        <v>=B245/B244-1</v>
      </c>
      <c r="E245" s="8">
        <f>VLOOKUP(A245,'[1]S&amp;P500_DAILY'!$A$8:$B$1768,2,0)</f>
        <v>2803.69</v>
      </c>
      <c r="F245" s="1">
        <f t="shared" si="14"/>
        <v>6.8953381050032014E-3</v>
      </c>
      <c r="G245" s="1" t="str">
        <f t="shared" ca="1" si="15"/>
        <v>=E245/E244-1</v>
      </c>
    </row>
    <row r="246" spans="1:7">
      <c r="A246" s="14">
        <v>43528</v>
      </c>
      <c r="B246" s="11">
        <f>VLOOKUP(A246,[1]HD_price_daily!$A$8:$B$1768,2,0)</f>
        <v>183.81</v>
      </c>
      <c r="C246">
        <f t="shared" si="12"/>
        <v>-7.3446022573849801E-3</v>
      </c>
      <c r="D246" s="1" t="str">
        <f t="shared" ca="1" si="13"/>
        <v>=B246/B245-1</v>
      </c>
      <c r="E246" s="8">
        <f>VLOOKUP(A246,'[1]S&amp;P500_DAILY'!$A$8:$B$1768,2,0)</f>
        <v>2792.81</v>
      </c>
      <c r="F246" s="1">
        <f t="shared" si="14"/>
        <v>-3.8806002090102654E-3</v>
      </c>
      <c r="G246" s="1" t="str">
        <f t="shared" ca="1" si="15"/>
        <v>=E246/E245-1</v>
      </c>
    </row>
    <row r="247" spans="1:7">
      <c r="A247" s="14">
        <v>43529</v>
      </c>
      <c r="B247" s="11">
        <f>VLOOKUP(A247,[1]HD_price_daily!$A$8:$B$1768,2,0)</f>
        <v>184</v>
      </c>
      <c r="C247">
        <f t="shared" si="12"/>
        <v>1.0336760785594201E-3</v>
      </c>
      <c r="D247" s="1" t="str">
        <f t="shared" ca="1" si="13"/>
        <v>=B247/B246-1</v>
      </c>
      <c r="E247" s="8">
        <f>VLOOKUP(A247,'[1]S&amp;P500_DAILY'!$A$8:$B$1768,2,0)</f>
        <v>2789.65</v>
      </c>
      <c r="F247" s="1">
        <f t="shared" si="14"/>
        <v>-1.1314768996100177E-3</v>
      </c>
      <c r="G247" s="1" t="str">
        <f t="shared" ca="1" si="15"/>
        <v>=E247/E246-1</v>
      </c>
    </row>
    <row r="248" spans="1:7">
      <c r="A248" s="14">
        <v>43530</v>
      </c>
      <c r="B248" s="11">
        <f>VLOOKUP(A248,[1]HD_price_daily!$A$8:$B$1768,2,0)</f>
        <v>184.45</v>
      </c>
      <c r="C248">
        <f t="shared" si="12"/>
        <v>2.4456521739129045E-3</v>
      </c>
      <c r="D248" s="1" t="str">
        <f t="shared" ca="1" si="13"/>
        <v>=B248/B247-1</v>
      </c>
      <c r="E248" s="8">
        <f>VLOOKUP(A248,'[1]S&amp;P500_DAILY'!$A$8:$B$1768,2,0)</f>
        <v>2771.45</v>
      </c>
      <c r="F248" s="1">
        <f t="shared" si="14"/>
        <v>-6.5241159285216455E-3</v>
      </c>
      <c r="G248" s="1" t="str">
        <f t="shared" ca="1" si="15"/>
        <v>=E248/E247-1</v>
      </c>
    </row>
    <row r="249" spans="1:7">
      <c r="A249" s="14">
        <v>43531</v>
      </c>
      <c r="B249" s="11">
        <f>VLOOKUP(A249,[1]HD_price_daily!$A$8:$B$1768,2,0)</f>
        <v>182.51</v>
      </c>
      <c r="C249">
        <f t="shared" si="12"/>
        <v>-1.0517755489292457E-2</v>
      </c>
      <c r="D249" s="1" t="str">
        <f t="shared" ca="1" si="13"/>
        <v>=B249/B248-1</v>
      </c>
      <c r="E249" s="8">
        <f>VLOOKUP(A249,'[1]S&amp;P500_DAILY'!$A$8:$B$1768,2,0)</f>
        <v>2748.93</v>
      </c>
      <c r="F249" s="1">
        <f t="shared" si="14"/>
        <v>-8.1257103682187415E-3</v>
      </c>
      <c r="G249" s="1" t="str">
        <f t="shared" ca="1" si="15"/>
        <v>=E249/E248-1</v>
      </c>
    </row>
    <row r="250" spans="1:7">
      <c r="A250" s="14">
        <v>43532</v>
      </c>
      <c r="B250" s="11">
        <f>VLOOKUP(A250,[1]HD_price_daily!$A$8:$B$1768,2,0)</f>
        <v>181.23</v>
      </c>
      <c r="C250">
        <f t="shared" si="12"/>
        <v>-7.0133143389403685E-3</v>
      </c>
      <c r="D250" s="1" t="str">
        <f t="shared" ca="1" si="13"/>
        <v>=B250/B249-1</v>
      </c>
      <c r="E250" s="8">
        <f>VLOOKUP(A250,'[1]S&amp;P500_DAILY'!$A$8:$B$1768,2,0)</f>
        <v>2743.07</v>
      </c>
      <c r="F250" s="1">
        <f t="shared" si="14"/>
        <v>-2.1317385309919112E-3</v>
      </c>
      <c r="G250" s="1" t="str">
        <f t="shared" ca="1" si="15"/>
        <v>=E250/E249-1</v>
      </c>
    </row>
    <row r="251" spans="1:7">
      <c r="A251" s="14">
        <v>43535</v>
      </c>
      <c r="B251" s="11">
        <f>VLOOKUP(A251,[1]HD_price_daily!$A$8:$B$1768,2,0)</f>
        <v>182.44</v>
      </c>
      <c r="C251">
        <f t="shared" si="12"/>
        <v>6.6765987971086904E-3</v>
      </c>
      <c r="D251" s="1" t="str">
        <f t="shared" ca="1" si="13"/>
        <v>=B251/B250-1</v>
      </c>
      <c r="E251" s="8">
        <f>VLOOKUP(A251,'[1]S&amp;P500_DAILY'!$A$8:$B$1768,2,0)</f>
        <v>2783.3</v>
      </c>
      <c r="F251" s="1">
        <f t="shared" si="14"/>
        <v>1.4666049353461608E-2</v>
      </c>
      <c r="G251" s="1" t="str">
        <f t="shared" ca="1" si="15"/>
        <v>=E251/E250-1</v>
      </c>
    </row>
    <row r="252" spans="1:7">
      <c r="A252" s="14">
        <v>43536</v>
      </c>
      <c r="B252" s="11">
        <f>VLOOKUP(A252,[1]HD_price_daily!$A$8:$B$1768,2,0)</f>
        <v>184</v>
      </c>
      <c r="C252">
        <f t="shared" si="12"/>
        <v>8.5507564130673508E-3</v>
      </c>
      <c r="D252" s="1" t="str">
        <f t="shared" ca="1" si="13"/>
        <v>=B252/B251-1</v>
      </c>
      <c r="E252" s="8">
        <f>VLOOKUP(A252,'[1]S&amp;P500_DAILY'!$A$8:$B$1768,2,0)</f>
        <v>2791.52</v>
      </c>
      <c r="F252" s="1">
        <f t="shared" si="14"/>
        <v>2.9533287823806376E-3</v>
      </c>
      <c r="G252" s="1" t="str">
        <f t="shared" ca="1" si="15"/>
        <v>=E252/E251-1</v>
      </c>
    </row>
    <row r="253" spans="1:7">
      <c r="A253" s="14">
        <v>43537</v>
      </c>
      <c r="B253" s="11">
        <f>VLOOKUP(A253,[1]HD_price_daily!$A$8:$B$1768,2,0)</f>
        <v>181.14</v>
      </c>
      <c r="C253">
        <f t="shared" si="12"/>
        <v>-1.5543478260869659E-2</v>
      </c>
      <c r="D253" s="1" t="str">
        <f t="shared" ca="1" si="13"/>
        <v>=B253/B252-1</v>
      </c>
      <c r="E253" s="8">
        <f>VLOOKUP(A253,'[1]S&amp;P500_DAILY'!$A$8:$B$1768,2,0)</f>
        <v>2810.92</v>
      </c>
      <c r="F253" s="1">
        <f t="shared" si="14"/>
        <v>6.9496188456468211E-3</v>
      </c>
      <c r="G253" s="1" t="str">
        <f t="shared" ca="1" si="15"/>
        <v>=E253/E252-1</v>
      </c>
    </row>
    <row r="254" spans="1:7">
      <c r="A254" s="14">
        <v>43538</v>
      </c>
      <c r="B254" s="11">
        <f>VLOOKUP(A254,[1]HD_price_daily!$A$8:$B$1768,2,0)</f>
        <v>181.61</v>
      </c>
      <c r="C254">
        <f t="shared" si="12"/>
        <v>2.5946781494978755E-3</v>
      </c>
      <c r="D254" s="1" t="str">
        <f t="shared" ca="1" si="13"/>
        <v>=B254/B253-1</v>
      </c>
      <c r="E254" s="8">
        <f>VLOOKUP(A254,'[1]S&amp;P500_DAILY'!$A$8:$B$1768,2,0)</f>
        <v>2808.48</v>
      </c>
      <c r="F254" s="1">
        <f t="shared" si="14"/>
        <v>-8.6804320293709658E-4</v>
      </c>
      <c r="G254" s="1" t="str">
        <f t="shared" ca="1" si="15"/>
        <v>=E254/E253-1</v>
      </c>
    </row>
    <row r="255" spans="1:7">
      <c r="A255" s="14">
        <v>43539</v>
      </c>
      <c r="B255" s="11">
        <f>VLOOKUP(A255,[1]HD_price_daily!$A$8:$B$1768,2,0)</f>
        <v>182.23</v>
      </c>
      <c r="C255">
        <f t="shared" si="12"/>
        <v>3.4139089257199107E-3</v>
      </c>
      <c r="D255" s="1" t="str">
        <f t="shared" ca="1" si="13"/>
        <v>=B255/B254-1</v>
      </c>
      <c r="E255" s="8">
        <f>VLOOKUP(A255,'[1]S&amp;P500_DAILY'!$A$8:$B$1768,2,0)</f>
        <v>2822.48</v>
      </c>
      <c r="F255" s="1">
        <f t="shared" si="14"/>
        <v>4.9849028656070438E-3</v>
      </c>
      <c r="G255" s="1" t="str">
        <f t="shared" ca="1" si="15"/>
        <v>=E255/E254-1</v>
      </c>
    </row>
    <row r="256" spans="1:7">
      <c r="A256" s="14">
        <v>43542</v>
      </c>
      <c r="B256" s="11">
        <f>VLOOKUP(A256,[1]HD_price_daily!$A$8:$B$1768,2,0)</f>
        <v>183.42</v>
      </c>
      <c r="C256">
        <f t="shared" si="12"/>
        <v>6.5302090764418619E-3</v>
      </c>
      <c r="D256" s="1" t="str">
        <f t="shared" ca="1" si="13"/>
        <v>=B256/B255-1</v>
      </c>
      <c r="E256" s="8">
        <f>VLOOKUP(A256,'[1]S&amp;P500_DAILY'!$A$8:$B$1768,2,0)</f>
        <v>2832.94</v>
      </c>
      <c r="F256" s="1">
        <f t="shared" si="14"/>
        <v>3.7059607153993035E-3</v>
      </c>
      <c r="G256" s="1" t="str">
        <f t="shared" ca="1" si="15"/>
        <v>=E256/E255-1</v>
      </c>
    </row>
    <row r="257" spans="1:7">
      <c r="A257" s="14">
        <v>43543</v>
      </c>
      <c r="B257" s="11">
        <f>VLOOKUP(A257,[1]HD_price_daily!$A$8:$B$1768,2,0)</f>
        <v>184.13</v>
      </c>
      <c r="C257">
        <f t="shared" si="12"/>
        <v>3.8708973939591829E-3</v>
      </c>
      <c r="D257" s="1" t="str">
        <f t="shared" ca="1" si="13"/>
        <v>=B257/B256-1</v>
      </c>
      <c r="E257" s="8">
        <f>VLOOKUP(A257,'[1]S&amp;P500_DAILY'!$A$8:$B$1768,2,0)</f>
        <v>2832.57</v>
      </c>
      <c r="F257" s="1">
        <f t="shared" si="14"/>
        <v>-1.3060636653083879E-4</v>
      </c>
      <c r="G257" s="1" t="str">
        <f t="shared" ca="1" si="15"/>
        <v>=E257/E256-1</v>
      </c>
    </row>
    <row r="258" spans="1:7">
      <c r="A258" s="14">
        <v>43544</v>
      </c>
      <c r="B258" s="11">
        <f>VLOOKUP(A258,[1]HD_price_daily!$A$8:$B$1768,2,0)</f>
        <v>186.1</v>
      </c>
      <c r="C258">
        <f t="shared" si="12"/>
        <v>1.069896268940429E-2</v>
      </c>
      <c r="D258" s="1" t="str">
        <f t="shared" ca="1" si="13"/>
        <v>=B258/B257-1</v>
      </c>
      <c r="E258" s="8">
        <f>VLOOKUP(A258,'[1]S&amp;P500_DAILY'!$A$8:$B$1768,2,0)</f>
        <v>2824.23</v>
      </c>
      <c r="F258" s="1">
        <f t="shared" si="14"/>
        <v>-2.9443226469249018E-3</v>
      </c>
      <c r="G258" s="1" t="str">
        <f t="shared" ca="1" si="15"/>
        <v>=E258/E257-1</v>
      </c>
    </row>
    <row r="259" spans="1:7">
      <c r="A259" s="14">
        <v>43545</v>
      </c>
      <c r="B259" s="11">
        <f>VLOOKUP(A259,[1]HD_price_daily!$A$8:$B$1768,2,0)</f>
        <v>189.97</v>
      </c>
      <c r="C259">
        <f t="shared" si="12"/>
        <v>2.0795271359484113E-2</v>
      </c>
      <c r="D259" s="1" t="str">
        <f t="shared" ca="1" si="13"/>
        <v>=B259/B258-1</v>
      </c>
      <c r="E259" s="8">
        <f>VLOOKUP(A259,'[1]S&amp;P500_DAILY'!$A$8:$B$1768,2,0)</f>
        <v>2854.88</v>
      </c>
      <c r="F259" s="1">
        <f t="shared" si="14"/>
        <v>1.0852515552911779E-2</v>
      </c>
      <c r="G259" s="1" t="str">
        <f t="shared" ca="1" si="15"/>
        <v>=E259/E258-1</v>
      </c>
    </row>
    <row r="260" spans="1:7">
      <c r="A260" s="14">
        <v>43546</v>
      </c>
      <c r="B260" s="11">
        <f>VLOOKUP(A260,[1]HD_price_daily!$A$8:$B$1768,2,0)</f>
        <v>188.75</v>
      </c>
      <c r="C260">
        <f t="shared" ref="C260:C323" si="16">B260/B259-1</f>
        <v>-6.4220666421014316E-3</v>
      </c>
      <c r="D260" s="1" t="str">
        <f t="shared" ref="D260:D323" ca="1" si="17">_xlfn.FORMULATEXT(C260)</f>
        <v>=B260/B259-1</v>
      </c>
      <c r="E260" s="8">
        <f>VLOOKUP(A260,'[1]S&amp;P500_DAILY'!$A$8:$B$1768,2,0)</f>
        <v>2800.71</v>
      </c>
      <c r="F260" s="1">
        <f t="shared" ref="F260:F323" si="18">E260/E259-1</f>
        <v>-1.8974527826038257E-2</v>
      </c>
      <c r="G260" s="1" t="str">
        <f t="shared" ref="G260:G323" ca="1" si="19">_xlfn.FORMULATEXT(F260)</f>
        <v>=E260/E259-1</v>
      </c>
    </row>
    <row r="261" spans="1:7">
      <c r="A261" s="14">
        <v>43549</v>
      </c>
      <c r="B261" s="11">
        <f>VLOOKUP(A261,[1]HD_price_daily!$A$8:$B$1768,2,0)</f>
        <v>189.68</v>
      </c>
      <c r="C261">
        <f t="shared" si="16"/>
        <v>4.9271523178808785E-3</v>
      </c>
      <c r="D261" s="1" t="str">
        <f t="shared" ca="1" si="17"/>
        <v>=B261/B260-1</v>
      </c>
      <c r="E261" s="8">
        <f>VLOOKUP(A261,'[1]S&amp;P500_DAILY'!$A$8:$B$1768,2,0)</f>
        <v>2798.36</v>
      </c>
      <c r="F261" s="1">
        <f t="shared" si="18"/>
        <v>-8.3907294935925414E-4</v>
      </c>
      <c r="G261" s="1" t="str">
        <f t="shared" ca="1" si="19"/>
        <v>=E261/E260-1</v>
      </c>
    </row>
    <row r="262" spans="1:7">
      <c r="A262" s="14">
        <v>43550</v>
      </c>
      <c r="B262" s="11">
        <f>VLOOKUP(A262,[1]HD_price_daily!$A$8:$B$1768,2,0)</f>
        <v>189.34</v>
      </c>
      <c r="C262">
        <f t="shared" si="16"/>
        <v>-1.792492619148045E-3</v>
      </c>
      <c r="D262" s="1" t="str">
        <f t="shared" ca="1" si="17"/>
        <v>=B262/B261-1</v>
      </c>
      <c r="E262" s="8">
        <f>VLOOKUP(A262,'[1]S&amp;P500_DAILY'!$A$8:$B$1768,2,0)</f>
        <v>2818.46</v>
      </c>
      <c r="F262" s="1">
        <f t="shared" si="18"/>
        <v>7.1827784845408527E-3</v>
      </c>
      <c r="G262" s="1" t="str">
        <f t="shared" ca="1" si="19"/>
        <v>=E262/E261-1</v>
      </c>
    </row>
    <row r="263" spans="1:7">
      <c r="A263" s="14">
        <v>43551</v>
      </c>
      <c r="B263" s="11">
        <f>VLOOKUP(A263,[1]HD_price_daily!$A$8:$B$1768,2,0)</f>
        <v>189.25</v>
      </c>
      <c r="C263">
        <f t="shared" si="16"/>
        <v>-4.7533537551491811E-4</v>
      </c>
      <c r="D263" s="1" t="str">
        <f t="shared" ca="1" si="17"/>
        <v>=B263/B262-1</v>
      </c>
      <c r="E263" s="8">
        <f>VLOOKUP(A263,'[1]S&amp;P500_DAILY'!$A$8:$B$1768,2,0)</f>
        <v>2805.37</v>
      </c>
      <c r="F263" s="1">
        <f t="shared" si="18"/>
        <v>-4.6443802643997278E-3</v>
      </c>
      <c r="G263" s="1" t="str">
        <f t="shared" ca="1" si="19"/>
        <v>=E263/E262-1</v>
      </c>
    </row>
    <row r="264" spans="1:7">
      <c r="A264" s="14">
        <v>43552</v>
      </c>
      <c r="B264" s="11">
        <f>VLOOKUP(A264,[1]HD_price_daily!$A$8:$B$1768,2,0)</f>
        <v>190.06</v>
      </c>
      <c r="C264">
        <f t="shared" si="16"/>
        <v>4.2800528401585325E-3</v>
      </c>
      <c r="D264" s="1" t="str">
        <f t="shared" ca="1" si="17"/>
        <v>=B264/B263-1</v>
      </c>
      <c r="E264" s="8">
        <f>VLOOKUP(A264,'[1]S&amp;P500_DAILY'!$A$8:$B$1768,2,0)</f>
        <v>2815.44</v>
      </c>
      <c r="F264" s="1">
        <f t="shared" si="18"/>
        <v>3.5895443381801506E-3</v>
      </c>
      <c r="G264" s="1" t="str">
        <f t="shared" ca="1" si="19"/>
        <v>=E264/E263-1</v>
      </c>
    </row>
    <row r="265" spans="1:7">
      <c r="A265" s="14">
        <v>43553</v>
      </c>
      <c r="B265" s="11">
        <f>VLOOKUP(A265,[1]HD_price_daily!$A$8:$B$1768,2,0)</f>
        <v>191.89</v>
      </c>
      <c r="C265">
        <f t="shared" si="16"/>
        <v>9.6285383563083915E-3</v>
      </c>
      <c r="D265" s="1" t="str">
        <f t="shared" ca="1" si="17"/>
        <v>=B265/B264-1</v>
      </c>
      <c r="E265" s="8">
        <f>VLOOKUP(A265,'[1]S&amp;P500_DAILY'!$A$8:$B$1768,2,0)</f>
        <v>2834.4</v>
      </c>
      <c r="F265" s="1">
        <f t="shared" si="18"/>
        <v>6.7342937515983969E-3</v>
      </c>
      <c r="G265" s="1" t="str">
        <f t="shared" ca="1" si="19"/>
        <v>=E265/E264-1</v>
      </c>
    </row>
    <row r="266" spans="1:7">
      <c r="A266" s="14">
        <v>43556</v>
      </c>
      <c r="B266" s="11">
        <f>VLOOKUP(A266,[1]HD_price_daily!$A$8:$B$1768,2,0)</f>
        <v>195.64</v>
      </c>
      <c r="C266">
        <f t="shared" si="16"/>
        <v>1.9542446193131502E-2</v>
      </c>
      <c r="D266" s="1" t="str">
        <f t="shared" ca="1" si="17"/>
        <v>=B266/B265-1</v>
      </c>
      <c r="E266" s="8">
        <f>VLOOKUP(A266,'[1]S&amp;P500_DAILY'!$A$8:$B$1768,2,0)</f>
        <v>2867.19</v>
      </c>
      <c r="F266" s="1">
        <f t="shared" si="18"/>
        <v>1.1568585944115251E-2</v>
      </c>
      <c r="G266" s="1" t="str">
        <f t="shared" ca="1" si="19"/>
        <v>=E266/E265-1</v>
      </c>
    </row>
    <row r="267" spans="1:7">
      <c r="A267" s="14">
        <v>43557</v>
      </c>
      <c r="B267" s="11">
        <f>VLOOKUP(A267,[1]HD_price_daily!$A$8:$B$1768,2,0)</f>
        <v>194.31</v>
      </c>
      <c r="C267">
        <f t="shared" si="16"/>
        <v>-6.7982007769371577E-3</v>
      </c>
      <c r="D267" s="1" t="str">
        <f t="shared" ca="1" si="17"/>
        <v>=B267/B266-1</v>
      </c>
      <c r="E267" s="8">
        <f>VLOOKUP(A267,'[1]S&amp;P500_DAILY'!$A$8:$B$1768,2,0)</f>
        <v>2867.24</v>
      </c>
      <c r="F267" s="1">
        <f t="shared" si="18"/>
        <v>1.7438676892522764E-5</v>
      </c>
      <c r="G267" s="1" t="str">
        <f t="shared" ca="1" si="19"/>
        <v>=E267/E266-1</v>
      </c>
    </row>
    <row r="268" spans="1:7">
      <c r="A268" s="14">
        <v>43558</v>
      </c>
      <c r="B268" s="11">
        <f>VLOOKUP(A268,[1]HD_price_daily!$A$8:$B$1768,2,0)</f>
        <v>198.61</v>
      </c>
      <c r="C268">
        <f t="shared" si="16"/>
        <v>2.2129586742833718E-2</v>
      </c>
      <c r="D268" s="1" t="str">
        <f t="shared" ca="1" si="17"/>
        <v>=B268/B267-1</v>
      </c>
      <c r="E268" s="8">
        <f>VLOOKUP(A268,'[1]S&amp;P500_DAILY'!$A$8:$B$1768,2,0)</f>
        <v>2873.4</v>
      </c>
      <c r="F268" s="1">
        <f t="shared" si="18"/>
        <v>2.1484075277968806E-3</v>
      </c>
      <c r="G268" s="1" t="str">
        <f t="shared" ca="1" si="19"/>
        <v>=E268/E267-1</v>
      </c>
    </row>
    <row r="269" spans="1:7">
      <c r="A269" s="14">
        <v>43559</v>
      </c>
      <c r="B269" s="11">
        <f>VLOOKUP(A269,[1]HD_price_daily!$A$8:$B$1768,2,0)</f>
        <v>200.45</v>
      </c>
      <c r="C269">
        <f t="shared" si="16"/>
        <v>9.2643874930766756E-3</v>
      </c>
      <c r="D269" s="1" t="str">
        <f t="shared" ca="1" si="17"/>
        <v>=B269/B268-1</v>
      </c>
      <c r="E269" s="8">
        <f>VLOOKUP(A269,'[1]S&amp;P500_DAILY'!$A$8:$B$1768,2,0)</f>
        <v>2879.39</v>
      </c>
      <c r="F269" s="1">
        <f t="shared" si="18"/>
        <v>2.0846384074615365E-3</v>
      </c>
      <c r="G269" s="1" t="str">
        <f t="shared" ca="1" si="19"/>
        <v>=E269/E268-1</v>
      </c>
    </row>
    <row r="270" spans="1:7">
      <c r="A270" s="14">
        <v>43560</v>
      </c>
      <c r="B270" s="11">
        <f>VLOOKUP(A270,[1]HD_price_daily!$A$8:$B$1768,2,0)</f>
        <v>202.06</v>
      </c>
      <c r="C270">
        <f t="shared" si="16"/>
        <v>8.0319281616363369E-3</v>
      </c>
      <c r="D270" s="1" t="str">
        <f t="shared" ca="1" si="17"/>
        <v>=B270/B269-1</v>
      </c>
      <c r="E270" s="8">
        <f>VLOOKUP(A270,'[1]S&amp;P500_DAILY'!$A$8:$B$1768,2,0)</f>
        <v>2892.74</v>
      </c>
      <c r="F270" s="1">
        <f t="shared" si="18"/>
        <v>4.6363986816650993E-3</v>
      </c>
      <c r="G270" s="1" t="str">
        <f t="shared" ca="1" si="19"/>
        <v>=E270/E269-1</v>
      </c>
    </row>
    <row r="271" spans="1:7">
      <c r="A271" s="14">
        <v>43563</v>
      </c>
      <c r="B271" s="11">
        <f>VLOOKUP(A271,[1]HD_price_daily!$A$8:$B$1768,2,0)</f>
        <v>203.55</v>
      </c>
      <c r="C271">
        <f t="shared" si="16"/>
        <v>7.3740473126795436E-3</v>
      </c>
      <c r="D271" s="1" t="str">
        <f t="shared" ca="1" si="17"/>
        <v>=B271/B270-1</v>
      </c>
      <c r="E271" s="8">
        <f>VLOOKUP(A271,'[1]S&amp;P500_DAILY'!$A$8:$B$1768,2,0)</f>
        <v>2895.77</v>
      </c>
      <c r="F271" s="1">
        <f t="shared" si="18"/>
        <v>1.0474498226595852E-3</v>
      </c>
      <c r="G271" s="1" t="str">
        <f t="shared" ca="1" si="19"/>
        <v>=E271/E270-1</v>
      </c>
    </row>
    <row r="272" spans="1:7">
      <c r="A272" s="14">
        <v>43564</v>
      </c>
      <c r="B272" s="11">
        <f>VLOOKUP(A272,[1]HD_price_daily!$A$8:$B$1768,2,0)</f>
        <v>200.9</v>
      </c>
      <c r="C272">
        <f t="shared" si="16"/>
        <v>-1.3018914271677784E-2</v>
      </c>
      <c r="D272" s="1" t="str">
        <f t="shared" ca="1" si="17"/>
        <v>=B272/B271-1</v>
      </c>
      <c r="E272" s="8">
        <f>VLOOKUP(A272,'[1]S&amp;P500_DAILY'!$A$8:$B$1768,2,0)</f>
        <v>2878.2</v>
      </c>
      <c r="F272" s="1">
        <f t="shared" si="18"/>
        <v>-6.0674708281390766E-3</v>
      </c>
      <c r="G272" s="1" t="str">
        <f t="shared" ca="1" si="19"/>
        <v>=E272/E271-1</v>
      </c>
    </row>
    <row r="273" spans="1:7">
      <c r="A273" s="14">
        <v>43565</v>
      </c>
      <c r="B273" s="11">
        <f>VLOOKUP(A273,[1]HD_price_daily!$A$8:$B$1768,2,0)</f>
        <v>199.43</v>
      </c>
      <c r="C273">
        <f t="shared" si="16"/>
        <v>-7.3170731707317138E-3</v>
      </c>
      <c r="D273" s="1" t="str">
        <f t="shared" ca="1" si="17"/>
        <v>=B273/B272-1</v>
      </c>
      <c r="E273" s="8">
        <f>VLOOKUP(A273,'[1]S&amp;P500_DAILY'!$A$8:$B$1768,2,0)</f>
        <v>2888.21</v>
      </c>
      <c r="F273" s="1">
        <f t="shared" si="18"/>
        <v>3.4778681120144483E-3</v>
      </c>
      <c r="G273" s="1" t="str">
        <f t="shared" ca="1" si="19"/>
        <v>=E273/E272-1</v>
      </c>
    </row>
    <row r="274" spans="1:7">
      <c r="A274" s="14">
        <v>43566</v>
      </c>
      <c r="B274" s="11">
        <f>VLOOKUP(A274,[1]HD_price_daily!$A$8:$B$1768,2,0)</f>
        <v>201.48</v>
      </c>
      <c r="C274">
        <f t="shared" si="16"/>
        <v>1.0279295993581572E-2</v>
      </c>
      <c r="D274" s="1" t="str">
        <f t="shared" ca="1" si="17"/>
        <v>=B274/B273-1</v>
      </c>
      <c r="E274" s="8">
        <f>VLOOKUP(A274,'[1]S&amp;P500_DAILY'!$A$8:$B$1768,2,0)</f>
        <v>2888.32</v>
      </c>
      <c r="F274" s="1">
        <f t="shared" si="18"/>
        <v>3.808587325715429E-5</v>
      </c>
      <c r="G274" s="1" t="str">
        <f t="shared" ca="1" si="19"/>
        <v>=E274/E273-1</v>
      </c>
    </row>
    <row r="275" spans="1:7">
      <c r="A275" s="14">
        <v>43567</v>
      </c>
      <c r="B275" s="11">
        <f>VLOOKUP(A275,[1]HD_price_daily!$A$8:$B$1768,2,0)</f>
        <v>203.85</v>
      </c>
      <c r="C275">
        <f t="shared" si="16"/>
        <v>1.1762954139368675E-2</v>
      </c>
      <c r="D275" s="1" t="str">
        <f t="shared" ca="1" si="17"/>
        <v>=B275/B274-1</v>
      </c>
      <c r="E275" s="8">
        <f>VLOOKUP(A275,'[1]S&amp;P500_DAILY'!$A$8:$B$1768,2,0)</f>
        <v>2907.41</v>
      </c>
      <c r="F275" s="1">
        <f t="shared" si="18"/>
        <v>6.6093784622200946E-3</v>
      </c>
      <c r="G275" s="1" t="str">
        <f t="shared" ca="1" si="19"/>
        <v>=E275/E274-1</v>
      </c>
    </row>
    <row r="276" spans="1:7">
      <c r="A276" s="14">
        <v>43570</v>
      </c>
      <c r="B276" s="11">
        <f>VLOOKUP(A276,[1]HD_price_daily!$A$8:$B$1768,2,0)</f>
        <v>204.86</v>
      </c>
      <c r="C276">
        <f t="shared" si="16"/>
        <v>4.9546234976698411E-3</v>
      </c>
      <c r="D276" s="1" t="str">
        <f t="shared" ca="1" si="17"/>
        <v>=B276/B275-1</v>
      </c>
      <c r="E276" s="8">
        <f>VLOOKUP(A276,'[1]S&amp;P500_DAILY'!$A$8:$B$1768,2,0)</f>
        <v>2905.58</v>
      </c>
      <c r="F276" s="1">
        <f t="shared" si="18"/>
        <v>-6.2942619032058111E-4</v>
      </c>
      <c r="G276" s="1" t="str">
        <f t="shared" ca="1" si="19"/>
        <v>=E276/E275-1</v>
      </c>
    </row>
    <row r="277" spans="1:7">
      <c r="A277" s="14">
        <v>43571</v>
      </c>
      <c r="B277" s="11">
        <f>VLOOKUP(A277,[1]HD_price_daily!$A$8:$B$1768,2,0)</f>
        <v>204.47</v>
      </c>
      <c r="C277">
        <f t="shared" si="16"/>
        <v>-1.9037391389241654E-3</v>
      </c>
      <c r="D277" s="1" t="str">
        <f t="shared" ca="1" si="17"/>
        <v>=B277/B276-1</v>
      </c>
      <c r="E277" s="8">
        <f>VLOOKUP(A277,'[1]S&amp;P500_DAILY'!$A$8:$B$1768,2,0)</f>
        <v>2907.06</v>
      </c>
      <c r="F277" s="1">
        <f t="shared" si="18"/>
        <v>5.0936473956997297E-4</v>
      </c>
      <c r="G277" s="1" t="str">
        <f t="shared" ca="1" si="19"/>
        <v>=E277/E276-1</v>
      </c>
    </row>
    <row r="278" spans="1:7">
      <c r="A278" s="14">
        <v>43572</v>
      </c>
      <c r="B278" s="11">
        <f>VLOOKUP(A278,[1]HD_price_daily!$A$8:$B$1768,2,0)</f>
        <v>206.55</v>
      </c>
      <c r="C278">
        <f t="shared" si="16"/>
        <v>1.017264146329544E-2</v>
      </c>
      <c r="D278" s="1" t="str">
        <f t="shared" ca="1" si="17"/>
        <v>=B278/B277-1</v>
      </c>
      <c r="E278" s="8">
        <f>VLOOKUP(A278,'[1]S&amp;P500_DAILY'!$A$8:$B$1768,2,0)</f>
        <v>2900.45</v>
      </c>
      <c r="F278" s="1">
        <f t="shared" si="18"/>
        <v>-2.2737748790875312E-3</v>
      </c>
      <c r="G278" s="1" t="str">
        <f t="shared" ca="1" si="19"/>
        <v>=E278/E277-1</v>
      </c>
    </row>
    <row r="279" spans="1:7">
      <c r="A279" s="14">
        <v>43573</v>
      </c>
      <c r="B279" s="11">
        <f>VLOOKUP(A279,[1]HD_price_daily!$A$8:$B$1768,2,0)</f>
        <v>205.66</v>
      </c>
      <c r="C279">
        <f t="shared" si="16"/>
        <v>-4.3088840474462264E-3</v>
      </c>
      <c r="D279" s="1" t="str">
        <f t="shared" ca="1" si="17"/>
        <v>=B279/B278-1</v>
      </c>
      <c r="E279" s="8">
        <f>VLOOKUP(A279,'[1]S&amp;P500_DAILY'!$A$8:$B$1768,2,0)</f>
        <v>2905.03</v>
      </c>
      <c r="F279" s="1">
        <f t="shared" si="18"/>
        <v>1.5790653174507785E-3</v>
      </c>
      <c r="G279" s="1" t="str">
        <f t="shared" ca="1" si="19"/>
        <v>=E279/E278-1</v>
      </c>
    </row>
    <row r="280" spans="1:7">
      <c r="A280" s="14">
        <v>43577</v>
      </c>
      <c r="B280" s="11">
        <f>VLOOKUP(A280,[1]HD_price_daily!$A$8:$B$1768,2,0)</f>
        <v>204.78</v>
      </c>
      <c r="C280">
        <f t="shared" si="16"/>
        <v>-4.2789069337741958E-3</v>
      </c>
      <c r="D280" s="1" t="str">
        <f t="shared" ca="1" si="17"/>
        <v>=B280/B279-1</v>
      </c>
      <c r="E280" s="8">
        <f>VLOOKUP(A280,'[1]S&amp;P500_DAILY'!$A$8:$B$1768,2,0)</f>
        <v>2907.97</v>
      </c>
      <c r="F280" s="1">
        <f t="shared" si="18"/>
        <v>1.0120377414346571E-3</v>
      </c>
      <c r="G280" s="1" t="str">
        <f t="shared" ca="1" si="19"/>
        <v>=E280/E279-1</v>
      </c>
    </row>
    <row r="281" spans="1:7">
      <c r="A281" s="14">
        <v>43578</v>
      </c>
      <c r="B281" s="11">
        <f>VLOOKUP(A281,[1]HD_price_daily!$A$8:$B$1768,2,0)</f>
        <v>206.05</v>
      </c>
      <c r="C281">
        <f t="shared" si="16"/>
        <v>6.2017775173357492E-3</v>
      </c>
      <c r="D281" s="1" t="str">
        <f t="shared" ca="1" si="17"/>
        <v>=B281/B280-1</v>
      </c>
      <c r="E281" s="8">
        <f>VLOOKUP(A281,'[1]S&amp;P500_DAILY'!$A$8:$B$1768,2,0)</f>
        <v>2933.68</v>
      </c>
      <c r="F281" s="1">
        <f t="shared" si="18"/>
        <v>8.8412191322468914E-3</v>
      </c>
      <c r="G281" s="1" t="str">
        <f t="shared" ca="1" si="19"/>
        <v>=E281/E280-1</v>
      </c>
    </row>
    <row r="282" spans="1:7">
      <c r="A282" s="14">
        <v>43579</v>
      </c>
      <c r="B282" s="11">
        <f>VLOOKUP(A282,[1]HD_price_daily!$A$8:$B$1768,2,0)</f>
        <v>206.72</v>
      </c>
      <c r="C282">
        <f t="shared" si="16"/>
        <v>3.2516379519533789E-3</v>
      </c>
      <c r="D282" s="1" t="str">
        <f t="shared" ca="1" si="17"/>
        <v>=B282/B281-1</v>
      </c>
      <c r="E282" s="8">
        <f>VLOOKUP(A282,'[1]S&amp;P500_DAILY'!$A$8:$B$1768,2,0)</f>
        <v>2927.25</v>
      </c>
      <c r="F282" s="1">
        <f t="shared" si="18"/>
        <v>-2.1917864252406494E-3</v>
      </c>
      <c r="G282" s="1" t="str">
        <f t="shared" ca="1" si="19"/>
        <v>=E282/E281-1</v>
      </c>
    </row>
    <row r="283" spans="1:7">
      <c r="A283" s="14">
        <v>43580</v>
      </c>
      <c r="B283" s="11">
        <f>VLOOKUP(A283,[1]HD_price_daily!$A$8:$B$1768,2,0)</f>
        <v>206.5</v>
      </c>
      <c r="C283">
        <f t="shared" si="16"/>
        <v>-1.064241486068096E-3</v>
      </c>
      <c r="D283" s="1" t="str">
        <f t="shared" ca="1" si="17"/>
        <v>=B283/B282-1</v>
      </c>
      <c r="E283" s="8">
        <f>VLOOKUP(A283,'[1]S&amp;P500_DAILY'!$A$8:$B$1768,2,0)</f>
        <v>2926.17</v>
      </c>
      <c r="F283" s="1">
        <f t="shared" si="18"/>
        <v>-3.6894696387390624E-4</v>
      </c>
      <c r="G283" s="1" t="str">
        <f t="shared" ca="1" si="19"/>
        <v>=E283/E282-1</v>
      </c>
    </row>
    <row r="284" spans="1:7">
      <c r="A284" s="14">
        <v>43581</v>
      </c>
      <c r="B284" s="11">
        <f>VLOOKUP(A284,[1]HD_price_daily!$A$8:$B$1768,2,0)</f>
        <v>203.61</v>
      </c>
      <c r="C284">
        <f t="shared" si="16"/>
        <v>-1.39951573849878E-2</v>
      </c>
      <c r="D284" s="1" t="str">
        <f t="shared" ca="1" si="17"/>
        <v>=B284/B283-1</v>
      </c>
      <c r="E284" s="8">
        <f>VLOOKUP(A284,'[1]S&amp;P500_DAILY'!$A$8:$B$1768,2,0)</f>
        <v>2939.88</v>
      </c>
      <c r="F284" s="1">
        <f t="shared" si="18"/>
        <v>4.6853053650335319E-3</v>
      </c>
      <c r="G284" s="1" t="str">
        <f t="shared" ca="1" si="19"/>
        <v>=E284/E283-1</v>
      </c>
    </row>
    <row r="285" spans="1:7">
      <c r="A285" s="14">
        <v>43584</v>
      </c>
      <c r="B285" s="11">
        <f>VLOOKUP(A285,[1]HD_price_daily!$A$8:$B$1768,2,0)</f>
        <v>202.16</v>
      </c>
      <c r="C285">
        <f t="shared" si="16"/>
        <v>-7.1214576887187464E-3</v>
      </c>
      <c r="D285" s="1" t="str">
        <f t="shared" ca="1" si="17"/>
        <v>=B285/B284-1</v>
      </c>
      <c r="E285" s="8">
        <f>VLOOKUP(A285,'[1]S&amp;P500_DAILY'!$A$8:$B$1768,2,0)</f>
        <v>2943.03</v>
      </c>
      <c r="F285" s="1">
        <f t="shared" si="18"/>
        <v>1.0714723049920494E-3</v>
      </c>
      <c r="G285" s="1" t="str">
        <f t="shared" ca="1" si="19"/>
        <v>=E285/E284-1</v>
      </c>
    </row>
    <row r="286" spans="1:7">
      <c r="A286" s="14">
        <v>43585</v>
      </c>
      <c r="B286" s="11">
        <f>VLOOKUP(A286,[1]HD_price_daily!$A$8:$B$1768,2,0)</f>
        <v>203.7</v>
      </c>
      <c r="C286">
        <f t="shared" si="16"/>
        <v>7.6177285318559385E-3</v>
      </c>
      <c r="D286" s="1" t="str">
        <f t="shared" ca="1" si="17"/>
        <v>=B286/B285-1</v>
      </c>
      <c r="E286" s="8">
        <f>VLOOKUP(A286,'[1]S&amp;P500_DAILY'!$A$8:$B$1768,2,0)</f>
        <v>2945.83</v>
      </c>
      <c r="F286" s="1">
        <f t="shared" si="18"/>
        <v>9.5140042745045506E-4</v>
      </c>
      <c r="G286" s="1" t="str">
        <f t="shared" ca="1" si="19"/>
        <v>=E286/E285-1</v>
      </c>
    </row>
    <row r="287" spans="1:7">
      <c r="A287" s="14">
        <v>43586</v>
      </c>
      <c r="B287" s="11">
        <f>VLOOKUP(A287,[1]HD_price_daily!$A$8:$B$1768,2,0)</f>
        <v>198.8</v>
      </c>
      <c r="C287">
        <f t="shared" si="16"/>
        <v>-2.405498281786933E-2</v>
      </c>
      <c r="D287" s="1" t="str">
        <f t="shared" ca="1" si="17"/>
        <v>=B287/B286-1</v>
      </c>
      <c r="E287" s="8">
        <f>VLOOKUP(A287,'[1]S&amp;P500_DAILY'!$A$8:$B$1768,2,0)</f>
        <v>2923.73</v>
      </c>
      <c r="F287" s="1">
        <f t="shared" si="18"/>
        <v>-7.502130129708795E-3</v>
      </c>
      <c r="G287" s="1" t="str">
        <f t="shared" ca="1" si="19"/>
        <v>=E287/E286-1</v>
      </c>
    </row>
    <row r="288" spans="1:7">
      <c r="A288" s="14">
        <v>43587</v>
      </c>
      <c r="B288" s="11">
        <f>VLOOKUP(A288,[1]HD_price_daily!$A$8:$B$1768,2,0)</f>
        <v>201.01</v>
      </c>
      <c r="C288">
        <f t="shared" si="16"/>
        <v>1.1116700201207141E-2</v>
      </c>
      <c r="D288" s="1" t="str">
        <f t="shared" ca="1" si="17"/>
        <v>=B288/B287-1</v>
      </c>
      <c r="E288" s="8">
        <f>VLOOKUP(A288,'[1]S&amp;P500_DAILY'!$A$8:$B$1768,2,0)</f>
        <v>2917.52</v>
      </c>
      <c r="F288" s="1">
        <f t="shared" si="18"/>
        <v>-2.1239991380873624E-3</v>
      </c>
      <c r="G288" s="1" t="str">
        <f t="shared" ca="1" si="19"/>
        <v>=E288/E287-1</v>
      </c>
    </row>
    <row r="289" spans="1:7">
      <c r="A289" s="14">
        <v>43588</v>
      </c>
      <c r="B289" s="11">
        <f>VLOOKUP(A289,[1]HD_price_daily!$A$8:$B$1768,2,0)</f>
        <v>200.56</v>
      </c>
      <c r="C289">
        <f t="shared" si="16"/>
        <v>-2.2386945923087431E-3</v>
      </c>
      <c r="D289" s="1" t="str">
        <f t="shared" ca="1" si="17"/>
        <v>=B289/B288-1</v>
      </c>
      <c r="E289" s="8">
        <f>VLOOKUP(A289,'[1]S&amp;P500_DAILY'!$A$8:$B$1768,2,0)</f>
        <v>2945.64</v>
      </c>
      <c r="F289" s="1">
        <f t="shared" si="18"/>
        <v>9.6383229592256203E-3</v>
      </c>
      <c r="G289" s="1" t="str">
        <f t="shared" ca="1" si="19"/>
        <v>=E289/E288-1</v>
      </c>
    </row>
    <row r="290" spans="1:7">
      <c r="A290" s="14">
        <v>43591</v>
      </c>
      <c r="B290" s="11">
        <f>VLOOKUP(A290,[1]HD_price_daily!$A$8:$B$1768,2,0)</f>
        <v>199.63</v>
      </c>
      <c r="C290">
        <f t="shared" si="16"/>
        <v>-4.6370163542082121E-3</v>
      </c>
      <c r="D290" s="1" t="str">
        <f t="shared" ca="1" si="17"/>
        <v>=B290/B289-1</v>
      </c>
      <c r="E290" s="8">
        <f>VLOOKUP(A290,'[1]S&amp;P500_DAILY'!$A$8:$B$1768,2,0)</f>
        <v>2932.47</v>
      </c>
      <c r="F290" s="1">
        <f t="shared" si="18"/>
        <v>-4.471014787957861E-3</v>
      </c>
      <c r="G290" s="1" t="str">
        <f t="shared" ca="1" si="19"/>
        <v>=E290/E289-1</v>
      </c>
    </row>
    <row r="291" spans="1:7">
      <c r="A291" s="14">
        <v>43592</v>
      </c>
      <c r="B291" s="11">
        <f>VLOOKUP(A291,[1]HD_price_daily!$A$8:$B$1768,2,0)</f>
        <v>194.77</v>
      </c>
      <c r="C291">
        <f t="shared" si="16"/>
        <v>-2.4345038320893631E-2</v>
      </c>
      <c r="D291" s="1" t="str">
        <f t="shared" ca="1" si="17"/>
        <v>=B291/B290-1</v>
      </c>
      <c r="E291" s="8">
        <f>VLOOKUP(A291,'[1]S&amp;P500_DAILY'!$A$8:$B$1768,2,0)</f>
        <v>2884.05</v>
      </c>
      <c r="F291" s="1">
        <f t="shared" si="18"/>
        <v>-1.6511677868827124E-2</v>
      </c>
      <c r="G291" s="1" t="str">
        <f t="shared" ca="1" si="19"/>
        <v>=E291/E290-1</v>
      </c>
    </row>
    <row r="292" spans="1:7">
      <c r="A292" s="14">
        <v>43593</v>
      </c>
      <c r="B292" s="11">
        <f>VLOOKUP(A292,[1]HD_price_daily!$A$8:$B$1768,2,0)</f>
        <v>195.17</v>
      </c>
      <c r="C292">
        <f t="shared" si="16"/>
        <v>2.0537043692558932E-3</v>
      </c>
      <c r="D292" s="1" t="str">
        <f t="shared" ca="1" si="17"/>
        <v>=B292/B291-1</v>
      </c>
      <c r="E292" s="8">
        <f>VLOOKUP(A292,'[1]S&amp;P500_DAILY'!$A$8:$B$1768,2,0)</f>
        <v>2879.42</v>
      </c>
      <c r="F292" s="1">
        <f t="shared" si="18"/>
        <v>-1.6053813214057522E-3</v>
      </c>
      <c r="G292" s="1" t="str">
        <f t="shared" ca="1" si="19"/>
        <v>=E292/E291-1</v>
      </c>
    </row>
    <row r="293" spans="1:7">
      <c r="A293" s="14">
        <v>43594</v>
      </c>
      <c r="B293" s="11">
        <f>VLOOKUP(A293,[1]HD_price_daily!$A$8:$B$1768,2,0)</f>
        <v>194.58</v>
      </c>
      <c r="C293">
        <f t="shared" si="16"/>
        <v>-3.0230055848745607E-3</v>
      </c>
      <c r="D293" s="1" t="str">
        <f t="shared" ca="1" si="17"/>
        <v>=B293/B292-1</v>
      </c>
      <c r="E293" s="8">
        <f>VLOOKUP(A293,'[1]S&amp;P500_DAILY'!$A$8:$B$1768,2,0)</f>
        <v>2870.72</v>
      </c>
      <c r="F293" s="1">
        <f t="shared" si="18"/>
        <v>-3.0214418181440106E-3</v>
      </c>
      <c r="G293" s="1" t="str">
        <f t="shared" ca="1" si="19"/>
        <v>=E293/E292-1</v>
      </c>
    </row>
    <row r="294" spans="1:7">
      <c r="A294" s="14">
        <v>43595</v>
      </c>
      <c r="B294" s="11">
        <f>VLOOKUP(A294,[1]HD_price_daily!$A$8:$B$1768,2,0)</f>
        <v>194.58</v>
      </c>
      <c r="C294">
        <f t="shared" si="16"/>
        <v>0</v>
      </c>
      <c r="D294" s="1" t="str">
        <f t="shared" ca="1" si="17"/>
        <v>=B294/B293-1</v>
      </c>
      <c r="E294" s="8">
        <f>VLOOKUP(A294,'[1]S&amp;P500_DAILY'!$A$8:$B$1768,2,0)</f>
        <v>2881.4</v>
      </c>
      <c r="F294" s="1">
        <f t="shared" si="18"/>
        <v>3.7203210344445292E-3</v>
      </c>
      <c r="G294" s="1" t="str">
        <f t="shared" ca="1" si="19"/>
        <v>=E294/E293-1</v>
      </c>
    </row>
    <row r="295" spans="1:7">
      <c r="A295" s="14">
        <v>43598</v>
      </c>
      <c r="B295" s="11">
        <f>VLOOKUP(A295,[1]HD_price_daily!$A$8:$B$1768,2,0)</f>
        <v>190.34</v>
      </c>
      <c r="C295">
        <f t="shared" si="16"/>
        <v>-2.1790523178127241E-2</v>
      </c>
      <c r="D295" s="1" t="str">
        <f t="shared" ca="1" si="17"/>
        <v>=B295/B294-1</v>
      </c>
      <c r="E295" s="8">
        <f>VLOOKUP(A295,'[1]S&amp;P500_DAILY'!$A$8:$B$1768,2,0)</f>
        <v>2811.87</v>
      </c>
      <c r="F295" s="1">
        <f t="shared" si="18"/>
        <v>-2.4130630943291487E-2</v>
      </c>
      <c r="G295" s="1" t="str">
        <f t="shared" ca="1" si="19"/>
        <v>=E295/E294-1</v>
      </c>
    </row>
    <row r="296" spans="1:7">
      <c r="A296" s="14">
        <v>43599</v>
      </c>
      <c r="B296" s="11">
        <f>VLOOKUP(A296,[1]HD_price_daily!$A$8:$B$1768,2,0)</f>
        <v>191.62</v>
      </c>
      <c r="C296">
        <f t="shared" si="16"/>
        <v>6.7248082378901231E-3</v>
      </c>
      <c r="D296" s="1" t="str">
        <f t="shared" ca="1" si="17"/>
        <v>=B296/B295-1</v>
      </c>
      <c r="E296" s="8">
        <f>VLOOKUP(A296,'[1]S&amp;P500_DAILY'!$A$8:$B$1768,2,0)</f>
        <v>2834.41</v>
      </c>
      <c r="F296" s="1">
        <f t="shared" si="18"/>
        <v>8.016017810211773E-3</v>
      </c>
      <c r="G296" s="1" t="str">
        <f t="shared" ca="1" si="19"/>
        <v>=E296/E295-1</v>
      </c>
    </row>
    <row r="297" spans="1:7">
      <c r="A297" s="14">
        <v>43600</v>
      </c>
      <c r="B297" s="11">
        <f>VLOOKUP(A297,[1]HD_price_daily!$A$8:$B$1768,2,0)</f>
        <v>191.76</v>
      </c>
      <c r="C297">
        <f t="shared" si="16"/>
        <v>7.3061267091101278E-4</v>
      </c>
      <c r="D297" s="1" t="str">
        <f t="shared" ca="1" si="17"/>
        <v>=B297/B296-1</v>
      </c>
      <c r="E297" s="8">
        <f>VLOOKUP(A297,'[1]S&amp;P500_DAILY'!$A$8:$B$1768,2,0)</f>
        <v>2850.96</v>
      </c>
      <c r="F297" s="1">
        <f t="shared" si="18"/>
        <v>5.8389576666748599E-3</v>
      </c>
      <c r="G297" s="1" t="str">
        <f t="shared" ca="1" si="19"/>
        <v>=E297/E296-1</v>
      </c>
    </row>
    <row r="298" spans="1:7">
      <c r="A298" s="14">
        <v>43601</v>
      </c>
      <c r="B298" s="11">
        <f>VLOOKUP(A298,[1]HD_price_daily!$A$8:$B$1768,2,0)</f>
        <v>192.38</v>
      </c>
      <c r="C298">
        <f t="shared" si="16"/>
        <v>3.2332081768877696E-3</v>
      </c>
      <c r="D298" s="1" t="str">
        <f t="shared" ca="1" si="17"/>
        <v>=B298/B297-1</v>
      </c>
      <c r="E298" s="8">
        <f>VLOOKUP(A298,'[1]S&amp;P500_DAILY'!$A$8:$B$1768,2,0)</f>
        <v>2876.32</v>
      </c>
      <c r="F298" s="1">
        <f t="shared" si="18"/>
        <v>8.895249319527565E-3</v>
      </c>
      <c r="G298" s="1" t="str">
        <f t="shared" ca="1" si="19"/>
        <v>=E298/E297-1</v>
      </c>
    </row>
    <row r="299" spans="1:7">
      <c r="A299" s="14">
        <v>43602</v>
      </c>
      <c r="B299" s="11">
        <f>VLOOKUP(A299,[1]HD_price_daily!$A$8:$B$1768,2,0)</f>
        <v>192.58</v>
      </c>
      <c r="C299">
        <f t="shared" si="16"/>
        <v>1.0396091069757585E-3</v>
      </c>
      <c r="D299" s="1" t="str">
        <f t="shared" ca="1" si="17"/>
        <v>=B299/B298-1</v>
      </c>
      <c r="E299" s="8">
        <f>VLOOKUP(A299,'[1]S&amp;P500_DAILY'!$A$8:$B$1768,2,0)</f>
        <v>2859.53</v>
      </c>
      <c r="F299" s="1">
        <f t="shared" si="18"/>
        <v>-5.8373199087723426E-3</v>
      </c>
      <c r="G299" s="1" t="str">
        <f t="shared" ca="1" si="19"/>
        <v>=E299/E298-1</v>
      </c>
    </row>
    <row r="300" spans="1:7">
      <c r="A300" s="14">
        <v>43605</v>
      </c>
      <c r="B300" s="11">
        <f>VLOOKUP(A300,[1]HD_price_daily!$A$8:$B$1768,2,0)</f>
        <v>190.95</v>
      </c>
      <c r="C300">
        <f t="shared" si="16"/>
        <v>-8.4640149548240728E-3</v>
      </c>
      <c r="D300" s="1" t="str">
        <f t="shared" ca="1" si="17"/>
        <v>=B300/B299-1</v>
      </c>
      <c r="E300" s="8">
        <f>VLOOKUP(A300,'[1]S&amp;P500_DAILY'!$A$8:$B$1768,2,0)</f>
        <v>2840.23</v>
      </c>
      <c r="F300" s="1">
        <f t="shared" si="18"/>
        <v>-6.749360908960611E-3</v>
      </c>
      <c r="G300" s="1" t="str">
        <f t="shared" ca="1" si="19"/>
        <v>=E300/E299-1</v>
      </c>
    </row>
    <row r="301" spans="1:7">
      <c r="A301" s="14">
        <v>43606</v>
      </c>
      <c r="B301" s="11">
        <f>VLOOKUP(A301,[1]HD_price_daily!$A$8:$B$1768,2,0)</f>
        <v>191.45</v>
      </c>
      <c r="C301">
        <f t="shared" si="16"/>
        <v>2.6184865147944603E-3</v>
      </c>
      <c r="D301" s="1" t="str">
        <f t="shared" ca="1" si="17"/>
        <v>=B301/B300-1</v>
      </c>
      <c r="E301" s="8">
        <f>VLOOKUP(A301,'[1]S&amp;P500_DAILY'!$A$8:$B$1768,2,0)</f>
        <v>2864.36</v>
      </c>
      <c r="F301" s="1">
        <f t="shared" si="18"/>
        <v>8.4957908338409993E-3</v>
      </c>
      <c r="G301" s="1" t="str">
        <f t="shared" ca="1" si="19"/>
        <v>=E301/E300-1</v>
      </c>
    </row>
    <row r="302" spans="1:7">
      <c r="A302" s="14">
        <v>43607</v>
      </c>
      <c r="B302" s="11">
        <f>VLOOKUP(A302,[1]HD_price_daily!$A$8:$B$1768,2,0)</f>
        <v>188.91</v>
      </c>
      <c r="C302">
        <f t="shared" si="16"/>
        <v>-1.3267171585270243E-2</v>
      </c>
      <c r="D302" s="1" t="str">
        <f t="shared" ca="1" si="17"/>
        <v>=B302/B301-1</v>
      </c>
      <c r="E302" s="8">
        <f>VLOOKUP(A302,'[1]S&amp;P500_DAILY'!$A$8:$B$1768,2,0)</f>
        <v>2856.27</v>
      </c>
      <c r="F302" s="1">
        <f t="shared" si="18"/>
        <v>-2.8243656523622152E-3</v>
      </c>
      <c r="G302" s="1" t="str">
        <f t="shared" ca="1" si="19"/>
        <v>=E302/E301-1</v>
      </c>
    </row>
    <row r="303" spans="1:7">
      <c r="A303" s="14">
        <v>43608</v>
      </c>
      <c r="B303" s="11">
        <f>VLOOKUP(A303,[1]HD_price_daily!$A$8:$B$1768,2,0)</f>
        <v>192</v>
      </c>
      <c r="C303">
        <f t="shared" si="16"/>
        <v>1.6356995394632312E-2</v>
      </c>
      <c r="D303" s="1" t="str">
        <f t="shared" ca="1" si="17"/>
        <v>=B303/B302-1</v>
      </c>
      <c r="E303" s="8">
        <f>VLOOKUP(A303,'[1]S&amp;P500_DAILY'!$A$8:$B$1768,2,0)</f>
        <v>2822.24</v>
      </c>
      <c r="F303" s="1">
        <f t="shared" si="18"/>
        <v>-1.1914139769699683E-2</v>
      </c>
      <c r="G303" s="1" t="str">
        <f t="shared" ca="1" si="19"/>
        <v>=E303/E302-1</v>
      </c>
    </row>
    <row r="304" spans="1:7">
      <c r="A304" s="14">
        <v>43609</v>
      </c>
      <c r="B304" s="11">
        <f>VLOOKUP(A304,[1]HD_price_daily!$A$8:$B$1768,2,0)</f>
        <v>193.59</v>
      </c>
      <c r="C304">
        <f t="shared" si="16"/>
        <v>8.2812500000000178E-3</v>
      </c>
      <c r="D304" s="1" t="str">
        <f t="shared" ca="1" si="17"/>
        <v>=B304/B303-1</v>
      </c>
      <c r="E304" s="8">
        <f>VLOOKUP(A304,'[1]S&amp;P500_DAILY'!$A$8:$B$1768,2,0)</f>
        <v>2826.06</v>
      </c>
      <c r="F304" s="1">
        <f t="shared" si="18"/>
        <v>1.353534780883292E-3</v>
      </c>
      <c r="G304" s="1" t="str">
        <f t="shared" ca="1" si="19"/>
        <v>=E304/E303-1</v>
      </c>
    </row>
    <row r="305" spans="1:7">
      <c r="A305" s="14">
        <v>43613</v>
      </c>
      <c r="B305" s="11">
        <f>VLOOKUP(A305,[1]HD_price_daily!$A$8:$B$1768,2,0)</f>
        <v>191.55</v>
      </c>
      <c r="C305">
        <f t="shared" si="16"/>
        <v>-1.0537734387106701E-2</v>
      </c>
      <c r="D305" s="1" t="str">
        <f t="shared" ca="1" si="17"/>
        <v>=B305/B304-1</v>
      </c>
      <c r="E305" s="8">
        <f>VLOOKUP(A305,'[1]S&amp;P500_DAILY'!$A$8:$B$1768,2,0)</f>
        <v>2802.39</v>
      </c>
      <c r="F305" s="1">
        <f t="shared" si="18"/>
        <v>-8.3756183520520278E-3</v>
      </c>
      <c r="G305" s="1" t="str">
        <f t="shared" ca="1" si="19"/>
        <v>=E305/E304-1</v>
      </c>
    </row>
    <row r="306" spans="1:7">
      <c r="A306" s="14">
        <v>43614</v>
      </c>
      <c r="B306" s="11">
        <f>VLOOKUP(A306,[1]HD_price_daily!$A$8:$B$1768,2,0)</f>
        <v>189.99</v>
      </c>
      <c r="C306">
        <f t="shared" si="16"/>
        <v>-8.1440877055599659E-3</v>
      </c>
      <c r="D306" s="1" t="str">
        <f t="shared" ca="1" si="17"/>
        <v>=B306/B305-1</v>
      </c>
      <c r="E306" s="8">
        <f>VLOOKUP(A306,'[1]S&amp;P500_DAILY'!$A$8:$B$1768,2,0)</f>
        <v>2783.02</v>
      </c>
      <c r="F306" s="1">
        <f t="shared" si="18"/>
        <v>-6.9119572935958384E-3</v>
      </c>
      <c r="G306" s="1" t="str">
        <f t="shared" ca="1" si="19"/>
        <v>=E306/E305-1</v>
      </c>
    </row>
    <row r="307" spans="1:7">
      <c r="A307" s="14">
        <v>43615</v>
      </c>
      <c r="B307" s="11">
        <f>VLOOKUP(A307,[1]HD_price_daily!$A$8:$B$1768,2,0)</f>
        <v>191.08</v>
      </c>
      <c r="C307">
        <f t="shared" si="16"/>
        <v>5.7371440602136392E-3</v>
      </c>
      <c r="D307" s="1" t="str">
        <f t="shared" ca="1" si="17"/>
        <v>=B307/B306-1</v>
      </c>
      <c r="E307" s="8">
        <f>VLOOKUP(A307,'[1]S&amp;P500_DAILY'!$A$8:$B$1768,2,0)</f>
        <v>2788.86</v>
      </c>
      <c r="F307" s="1">
        <f t="shared" si="18"/>
        <v>2.0984398243635294E-3</v>
      </c>
      <c r="G307" s="1" t="str">
        <f t="shared" ca="1" si="19"/>
        <v>=E307/E306-1</v>
      </c>
    </row>
    <row r="308" spans="1:7">
      <c r="A308" s="14">
        <v>43616</v>
      </c>
      <c r="B308" s="11">
        <f>VLOOKUP(A308,[1]HD_price_daily!$A$8:$B$1768,2,0)</f>
        <v>189.85</v>
      </c>
      <c r="C308">
        <f t="shared" si="16"/>
        <v>-6.4370944107181582E-3</v>
      </c>
      <c r="D308" s="1" t="str">
        <f t="shared" ca="1" si="17"/>
        <v>=B308/B307-1</v>
      </c>
      <c r="E308" s="8">
        <f>VLOOKUP(A308,'[1]S&amp;P500_DAILY'!$A$8:$B$1768,2,0)</f>
        <v>2752.06</v>
      </c>
      <c r="F308" s="1">
        <f t="shared" si="18"/>
        <v>-1.3195355808466647E-2</v>
      </c>
      <c r="G308" s="1" t="str">
        <f t="shared" ca="1" si="19"/>
        <v>=E308/E307-1</v>
      </c>
    </row>
    <row r="309" spans="1:7">
      <c r="A309" s="14">
        <v>43619</v>
      </c>
      <c r="B309" s="11">
        <f>VLOOKUP(A309,[1]HD_price_daily!$A$8:$B$1768,2,0)</f>
        <v>189.57</v>
      </c>
      <c r="C309">
        <f t="shared" si="16"/>
        <v>-1.4748485646562948E-3</v>
      </c>
      <c r="D309" s="1" t="str">
        <f t="shared" ca="1" si="17"/>
        <v>=B309/B308-1</v>
      </c>
      <c r="E309" s="8">
        <f>VLOOKUP(A309,'[1]S&amp;P500_DAILY'!$A$8:$B$1768,2,0)</f>
        <v>2744.45</v>
      </c>
      <c r="F309" s="1">
        <f t="shared" si="18"/>
        <v>-2.7652013400870645E-3</v>
      </c>
      <c r="G309" s="1" t="str">
        <f t="shared" ca="1" si="19"/>
        <v>=E309/E308-1</v>
      </c>
    </row>
    <row r="310" spans="1:7">
      <c r="A310" s="14">
        <v>43620</v>
      </c>
      <c r="B310" s="11">
        <f>VLOOKUP(A310,[1]HD_price_daily!$A$8:$B$1768,2,0)</f>
        <v>195.25</v>
      </c>
      <c r="C310">
        <f t="shared" si="16"/>
        <v>2.9962546816479474E-2</v>
      </c>
      <c r="D310" s="1" t="str">
        <f t="shared" ca="1" si="17"/>
        <v>=B310/B309-1</v>
      </c>
      <c r="E310" s="8">
        <f>VLOOKUP(A310,'[1]S&amp;P500_DAILY'!$A$8:$B$1768,2,0)</f>
        <v>2803.27</v>
      </c>
      <c r="F310" s="1">
        <f t="shared" si="18"/>
        <v>2.1432345278653342E-2</v>
      </c>
      <c r="G310" s="1" t="str">
        <f t="shared" ca="1" si="19"/>
        <v>=E310/E309-1</v>
      </c>
    </row>
    <row r="311" spans="1:7">
      <c r="A311" s="14">
        <v>43621</v>
      </c>
      <c r="B311" s="11">
        <f>VLOOKUP(A311,[1]HD_price_daily!$A$8:$B$1768,2,0)</f>
        <v>196.69</v>
      </c>
      <c r="C311">
        <f t="shared" si="16"/>
        <v>7.3751600512164117E-3</v>
      </c>
      <c r="D311" s="1" t="str">
        <f t="shared" ca="1" si="17"/>
        <v>=B311/B310-1</v>
      </c>
      <c r="E311" s="8">
        <f>VLOOKUP(A311,'[1]S&amp;P500_DAILY'!$A$8:$B$1768,2,0)</f>
        <v>2826.15</v>
      </c>
      <c r="F311" s="1">
        <f t="shared" si="18"/>
        <v>8.1618966421357353E-3</v>
      </c>
      <c r="G311" s="1" t="str">
        <f t="shared" ca="1" si="19"/>
        <v>=E311/E310-1</v>
      </c>
    </row>
    <row r="312" spans="1:7">
      <c r="A312" s="14">
        <v>43622</v>
      </c>
      <c r="B312" s="11">
        <f>VLOOKUP(A312,[1]HD_price_daily!$A$8:$B$1768,2,0)</f>
        <v>197.17</v>
      </c>
      <c r="C312">
        <f t="shared" si="16"/>
        <v>2.4403884284915911E-3</v>
      </c>
      <c r="D312" s="1" t="str">
        <f t="shared" ca="1" si="17"/>
        <v>=B312/B311-1</v>
      </c>
      <c r="E312" s="8">
        <f>VLOOKUP(A312,'[1]S&amp;P500_DAILY'!$A$8:$B$1768,2,0)</f>
        <v>2843.49</v>
      </c>
      <c r="F312" s="1">
        <f t="shared" si="18"/>
        <v>6.1355554376094634E-3</v>
      </c>
      <c r="G312" s="1" t="str">
        <f t="shared" ca="1" si="19"/>
        <v>=E312/E311-1</v>
      </c>
    </row>
    <row r="313" spans="1:7">
      <c r="A313" s="14">
        <v>43623</v>
      </c>
      <c r="B313" s="11">
        <f>VLOOKUP(A313,[1]HD_price_daily!$A$8:$B$1768,2,0)</f>
        <v>197.3</v>
      </c>
      <c r="C313">
        <f t="shared" si="16"/>
        <v>6.5932951260339046E-4</v>
      </c>
      <c r="D313" s="1" t="str">
        <f t="shared" ca="1" si="17"/>
        <v>=B313/B312-1</v>
      </c>
      <c r="E313" s="8">
        <f>VLOOKUP(A313,'[1]S&amp;P500_DAILY'!$A$8:$B$1768,2,0)</f>
        <v>2873.34</v>
      </c>
      <c r="F313" s="1">
        <f t="shared" si="18"/>
        <v>1.0497663083042452E-2</v>
      </c>
      <c r="G313" s="1" t="str">
        <f t="shared" ca="1" si="19"/>
        <v>=E313/E312-1</v>
      </c>
    </row>
    <row r="314" spans="1:7">
      <c r="A314" s="14">
        <v>43626</v>
      </c>
      <c r="B314" s="11">
        <f>VLOOKUP(A314,[1]HD_price_daily!$A$8:$B$1768,2,0)</f>
        <v>198.05</v>
      </c>
      <c r="C314">
        <f t="shared" si="16"/>
        <v>3.8013177901672357E-3</v>
      </c>
      <c r="D314" s="1" t="str">
        <f t="shared" ca="1" si="17"/>
        <v>=B314/B313-1</v>
      </c>
      <c r="E314" s="8">
        <f>VLOOKUP(A314,'[1]S&amp;P500_DAILY'!$A$8:$B$1768,2,0)</f>
        <v>2886.73</v>
      </c>
      <c r="F314" s="1">
        <f t="shared" si="18"/>
        <v>4.6600819951694294E-3</v>
      </c>
      <c r="G314" s="1" t="str">
        <f t="shared" ca="1" si="19"/>
        <v>=E314/E313-1</v>
      </c>
    </row>
    <row r="315" spans="1:7">
      <c r="A315" s="14">
        <v>43627</v>
      </c>
      <c r="B315" s="11">
        <f>VLOOKUP(A315,[1]HD_price_daily!$A$8:$B$1768,2,0)</f>
        <v>198.01</v>
      </c>
      <c r="C315">
        <f t="shared" si="16"/>
        <v>-2.0196919969717175E-4</v>
      </c>
      <c r="D315" s="1" t="str">
        <f t="shared" ca="1" si="17"/>
        <v>=B315/B314-1</v>
      </c>
      <c r="E315" s="8">
        <f>VLOOKUP(A315,'[1]S&amp;P500_DAILY'!$A$8:$B$1768,2,0)</f>
        <v>2885.72</v>
      </c>
      <c r="F315" s="1">
        <f t="shared" si="18"/>
        <v>-3.4987685027698667E-4</v>
      </c>
      <c r="G315" s="1" t="str">
        <f t="shared" ca="1" si="19"/>
        <v>=E315/E314-1</v>
      </c>
    </row>
    <row r="316" spans="1:7">
      <c r="A316" s="14">
        <v>43628</v>
      </c>
      <c r="B316" s="11">
        <f>VLOOKUP(A316,[1]HD_price_daily!$A$8:$B$1768,2,0)</f>
        <v>198.94</v>
      </c>
      <c r="C316">
        <f t="shared" si="16"/>
        <v>4.6967324882583039E-3</v>
      </c>
      <c r="D316" s="1" t="str">
        <f t="shared" ca="1" si="17"/>
        <v>=B316/B315-1</v>
      </c>
      <c r="E316" s="8">
        <f>VLOOKUP(A316,'[1]S&amp;P500_DAILY'!$A$8:$B$1768,2,0)</f>
        <v>2879.84</v>
      </c>
      <c r="F316" s="1">
        <f t="shared" si="18"/>
        <v>-2.0376197274856178E-3</v>
      </c>
      <c r="G316" s="1" t="str">
        <f t="shared" ca="1" si="19"/>
        <v>=E316/E315-1</v>
      </c>
    </row>
    <row r="317" spans="1:7">
      <c r="A317" s="14">
        <v>43629</v>
      </c>
      <c r="B317" s="11">
        <f>VLOOKUP(A317,[1]HD_price_daily!$A$8:$B$1768,2,0)</f>
        <v>202.35</v>
      </c>
      <c r="C317">
        <f t="shared" si="16"/>
        <v>1.7140846486377814E-2</v>
      </c>
      <c r="D317" s="1" t="str">
        <f t="shared" ca="1" si="17"/>
        <v>=B317/B316-1</v>
      </c>
      <c r="E317" s="8">
        <f>VLOOKUP(A317,'[1]S&amp;P500_DAILY'!$A$8:$B$1768,2,0)</f>
        <v>2891.64</v>
      </c>
      <c r="F317" s="1">
        <f t="shared" si="18"/>
        <v>4.097449858325275E-3</v>
      </c>
      <c r="G317" s="1" t="str">
        <f t="shared" ca="1" si="19"/>
        <v>=E317/E316-1</v>
      </c>
    </row>
    <row r="318" spans="1:7">
      <c r="A318" s="14">
        <v>43630</v>
      </c>
      <c r="B318" s="11">
        <f>VLOOKUP(A318,[1]HD_price_daily!$A$8:$B$1768,2,0)</f>
        <v>205.77</v>
      </c>
      <c r="C318">
        <f t="shared" si="16"/>
        <v>1.6901408450704203E-2</v>
      </c>
      <c r="D318" s="1" t="str">
        <f t="shared" ca="1" si="17"/>
        <v>=B318/B317-1</v>
      </c>
      <c r="E318" s="8">
        <f>VLOOKUP(A318,'[1]S&amp;P500_DAILY'!$A$8:$B$1768,2,0)</f>
        <v>2886.98</v>
      </c>
      <c r="F318" s="1">
        <f t="shared" si="18"/>
        <v>-1.6115422390061696E-3</v>
      </c>
      <c r="G318" s="1" t="str">
        <f t="shared" ca="1" si="19"/>
        <v>=E318/E317-1</v>
      </c>
    </row>
    <row r="319" spans="1:7">
      <c r="A319" s="14">
        <v>43633</v>
      </c>
      <c r="B319" s="11">
        <f>VLOOKUP(A319,[1]HD_price_daily!$A$8:$B$1768,2,0)</f>
        <v>206.98</v>
      </c>
      <c r="C319">
        <f t="shared" si="16"/>
        <v>5.8803518491519213E-3</v>
      </c>
      <c r="D319" s="1" t="str">
        <f t="shared" ca="1" si="17"/>
        <v>=B319/B318-1</v>
      </c>
      <c r="E319" s="8">
        <f>VLOOKUP(A319,'[1]S&amp;P500_DAILY'!$A$8:$B$1768,2,0)</f>
        <v>2889.67</v>
      </c>
      <c r="F319" s="1">
        <f t="shared" si="18"/>
        <v>9.3176953078999425E-4</v>
      </c>
      <c r="G319" s="1" t="str">
        <f t="shared" ca="1" si="19"/>
        <v>=E319/E318-1</v>
      </c>
    </row>
    <row r="320" spans="1:7">
      <c r="A320" s="14">
        <v>43634</v>
      </c>
      <c r="B320" s="11">
        <f>VLOOKUP(A320,[1]HD_price_daily!$A$8:$B$1768,2,0)</f>
        <v>207.48</v>
      </c>
      <c r="C320">
        <f t="shared" si="16"/>
        <v>2.4156923374238914E-3</v>
      </c>
      <c r="D320" s="1" t="str">
        <f t="shared" ca="1" si="17"/>
        <v>=B320/B319-1</v>
      </c>
      <c r="E320" s="8">
        <f>VLOOKUP(A320,'[1]S&amp;P500_DAILY'!$A$8:$B$1768,2,0)</f>
        <v>2917.75</v>
      </c>
      <c r="F320" s="1">
        <f t="shared" si="18"/>
        <v>9.7173725719545967E-3</v>
      </c>
      <c r="G320" s="1" t="str">
        <f t="shared" ca="1" si="19"/>
        <v>=E320/E319-1</v>
      </c>
    </row>
    <row r="321" spans="1:7">
      <c r="A321" s="14">
        <v>43635</v>
      </c>
      <c r="B321" s="11">
        <f>VLOOKUP(A321,[1]HD_price_daily!$A$8:$B$1768,2,0)</f>
        <v>207.94</v>
      </c>
      <c r="C321">
        <f t="shared" si="16"/>
        <v>2.2170811644495192E-3</v>
      </c>
      <c r="D321" s="1" t="str">
        <f t="shared" ca="1" si="17"/>
        <v>=B321/B320-1</v>
      </c>
      <c r="E321" s="8">
        <f>VLOOKUP(A321,'[1]S&amp;P500_DAILY'!$A$8:$B$1768,2,0)</f>
        <v>2926.46</v>
      </c>
      <c r="F321" s="1">
        <f t="shared" si="18"/>
        <v>2.9851769342814638E-3</v>
      </c>
      <c r="G321" s="1" t="str">
        <f t="shared" ca="1" si="19"/>
        <v>=E321/E320-1</v>
      </c>
    </row>
    <row r="322" spans="1:7">
      <c r="A322" s="14">
        <v>43636</v>
      </c>
      <c r="B322" s="11">
        <f>VLOOKUP(A322,[1]HD_price_daily!$A$8:$B$1768,2,0)</f>
        <v>211.25</v>
      </c>
      <c r="C322">
        <f t="shared" si="16"/>
        <v>1.5918053284601275E-2</v>
      </c>
      <c r="D322" s="1" t="str">
        <f t="shared" ca="1" si="17"/>
        <v>=B322/B321-1</v>
      </c>
      <c r="E322" s="8">
        <f>VLOOKUP(A322,'[1]S&amp;P500_DAILY'!$A$8:$B$1768,2,0)</f>
        <v>2954.18</v>
      </c>
      <c r="F322" s="1">
        <f t="shared" si="18"/>
        <v>9.4721950752785222E-3</v>
      </c>
      <c r="G322" s="1" t="str">
        <f t="shared" ca="1" si="19"/>
        <v>=E322/E321-1</v>
      </c>
    </row>
    <row r="323" spans="1:7">
      <c r="A323" s="14">
        <v>43637</v>
      </c>
      <c r="B323" s="11">
        <f>VLOOKUP(A323,[1]HD_price_daily!$A$8:$B$1768,2,0)</f>
        <v>209.39</v>
      </c>
      <c r="C323">
        <f t="shared" si="16"/>
        <v>-8.8047337278107651E-3</v>
      </c>
      <c r="D323" s="1" t="str">
        <f t="shared" ca="1" si="17"/>
        <v>=B323/B322-1</v>
      </c>
      <c r="E323" s="8">
        <f>VLOOKUP(A323,'[1]S&amp;P500_DAILY'!$A$8:$B$1768,2,0)</f>
        <v>2950.46</v>
      </c>
      <c r="F323" s="1">
        <f t="shared" si="18"/>
        <v>-1.2592326804730103E-3</v>
      </c>
      <c r="G323" s="1" t="str">
        <f t="shared" ca="1" si="19"/>
        <v>=E323/E322-1</v>
      </c>
    </row>
    <row r="324" spans="1:7">
      <c r="A324" s="14">
        <v>43640</v>
      </c>
      <c r="B324" s="11">
        <f>VLOOKUP(A324,[1]HD_price_daily!$A$8:$B$1768,2,0)</f>
        <v>205.5</v>
      </c>
      <c r="C324">
        <f t="shared" ref="C324:C387" si="20">B324/B323-1</f>
        <v>-1.8577773532642339E-2</v>
      </c>
      <c r="D324" s="1" t="str">
        <f t="shared" ref="D324:D387" ca="1" si="21">_xlfn.FORMULATEXT(C324)</f>
        <v>=B324/B323-1</v>
      </c>
      <c r="E324" s="8">
        <f>VLOOKUP(A324,'[1]S&amp;P500_DAILY'!$A$8:$B$1768,2,0)</f>
        <v>2945.35</v>
      </c>
      <c r="F324" s="1">
        <f t="shared" ref="F324:F387" si="22">E324/E323-1</f>
        <v>-1.731933325650914E-3</v>
      </c>
      <c r="G324" s="1" t="str">
        <f t="shared" ref="G324:G387" ca="1" si="23">_xlfn.FORMULATEXT(F324)</f>
        <v>=E324/E323-1</v>
      </c>
    </row>
    <row r="325" spans="1:7">
      <c r="A325" s="14">
        <v>43641</v>
      </c>
      <c r="B325" s="11">
        <f>VLOOKUP(A325,[1]HD_price_daily!$A$8:$B$1768,2,0)</f>
        <v>204.74</v>
      </c>
      <c r="C325">
        <f t="shared" si="20"/>
        <v>-3.6982968369829727E-3</v>
      </c>
      <c r="D325" s="1" t="str">
        <f t="shared" ca="1" si="21"/>
        <v>=B325/B324-1</v>
      </c>
      <c r="E325" s="8">
        <f>VLOOKUP(A325,'[1]S&amp;P500_DAILY'!$A$8:$B$1768,2,0)</f>
        <v>2917.38</v>
      </c>
      <c r="F325" s="1">
        <f t="shared" si="22"/>
        <v>-9.4963247152289876E-3</v>
      </c>
      <c r="G325" s="1" t="str">
        <f t="shared" ca="1" si="23"/>
        <v>=E325/E324-1</v>
      </c>
    </row>
    <row r="326" spans="1:7">
      <c r="A326" s="14">
        <v>43642</v>
      </c>
      <c r="B326" s="11">
        <f>VLOOKUP(A326,[1]HD_price_daily!$A$8:$B$1768,2,0)</f>
        <v>206.42</v>
      </c>
      <c r="C326">
        <f t="shared" si="20"/>
        <v>8.2055289635634132E-3</v>
      </c>
      <c r="D326" s="1" t="str">
        <f t="shared" ca="1" si="21"/>
        <v>=B326/B325-1</v>
      </c>
      <c r="E326" s="8">
        <f>VLOOKUP(A326,'[1]S&amp;P500_DAILY'!$A$8:$B$1768,2,0)</f>
        <v>2913.78</v>
      </c>
      <c r="F326" s="1">
        <f t="shared" si="22"/>
        <v>-1.2339839170762978E-3</v>
      </c>
      <c r="G326" s="1" t="str">
        <f t="shared" ca="1" si="23"/>
        <v>=E326/E325-1</v>
      </c>
    </row>
    <row r="327" spans="1:7">
      <c r="A327" s="14">
        <v>43643</v>
      </c>
      <c r="B327" s="11">
        <f>VLOOKUP(A327,[1]HD_price_daily!$A$8:$B$1768,2,0)</f>
        <v>207.02</v>
      </c>
      <c r="C327">
        <f t="shared" si="20"/>
        <v>2.9066950876854847E-3</v>
      </c>
      <c r="D327" s="1" t="str">
        <f t="shared" ca="1" si="21"/>
        <v>=B327/B326-1</v>
      </c>
      <c r="E327" s="8">
        <f>VLOOKUP(A327,'[1]S&amp;P500_DAILY'!$A$8:$B$1768,2,0)</f>
        <v>2924.92</v>
      </c>
      <c r="F327" s="1">
        <f t="shared" si="22"/>
        <v>3.8232124594168582E-3</v>
      </c>
      <c r="G327" s="1" t="str">
        <f t="shared" ca="1" si="23"/>
        <v>=E327/E326-1</v>
      </c>
    </row>
    <row r="328" spans="1:7">
      <c r="A328" s="14">
        <v>43644</v>
      </c>
      <c r="B328" s="11">
        <f>VLOOKUP(A328,[1]HD_price_daily!$A$8:$B$1768,2,0)</f>
        <v>207.97</v>
      </c>
      <c r="C328">
        <f t="shared" si="20"/>
        <v>4.5889286059317413E-3</v>
      </c>
      <c r="D328" s="1" t="str">
        <f t="shared" ca="1" si="21"/>
        <v>=B328/B327-1</v>
      </c>
      <c r="E328" s="8">
        <f>VLOOKUP(A328,'[1]S&amp;P500_DAILY'!$A$8:$B$1768,2,0)</f>
        <v>2941.76</v>
      </c>
      <c r="F328" s="1">
        <f t="shared" si="22"/>
        <v>5.7574224252288086E-3</v>
      </c>
      <c r="G328" s="1" t="str">
        <f t="shared" ca="1" si="23"/>
        <v>=E328/E327-1</v>
      </c>
    </row>
    <row r="329" spans="1:7">
      <c r="A329" s="14">
        <v>43647</v>
      </c>
      <c r="B329" s="11">
        <f>VLOOKUP(A329,[1]HD_price_daily!$A$8:$B$1768,2,0)</f>
        <v>210.28</v>
      </c>
      <c r="C329">
        <f t="shared" si="20"/>
        <v>1.1107371255469456E-2</v>
      </c>
      <c r="D329" s="1" t="str">
        <f t="shared" ca="1" si="21"/>
        <v>=B329/B328-1</v>
      </c>
      <c r="E329" s="8">
        <f>VLOOKUP(A329,'[1]S&amp;P500_DAILY'!$A$8:$B$1768,2,0)</f>
        <v>2964.33</v>
      </c>
      <c r="F329" s="1">
        <f t="shared" si="22"/>
        <v>7.6722778200803976E-3</v>
      </c>
      <c r="G329" s="1" t="str">
        <f t="shared" ca="1" si="23"/>
        <v>=E329/E328-1</v>
      </c>
    </row>
    <row r="330" spans="1:7">
      <c r="A330" s="14">
        <v>43648</v>
      </c>
      <c r="B330" s="11">
        <f>VLOOKUP(A330,[1]HD_price_daily!$A$8:$B$1768,2,0)</f>
        <v>210.14</v>
      </c>
      <c r="C330">
        <f t="shared" si="20"/>
        <v>-6.6577896138486636E-4</v>
      </c>
      <c r="D330" s="1" t="str">
        <f t="shared" ca="1" si="21"/>
        <v>=B330/B329-1</v>
      </c>
      <c r="E330" s="8">
        <f>VLOOKUP(A330,'[1]S&amp;P500_DAILY'!$A$8:$B$1768,2,0)</f>
        <v>2973.01</v>
      </c>
      <c r="F330" s="1">
        <f t="shared" si="22"/>
        <v>2.9281490252435205E-3</v>
      </c>
      <c r="G330" s="1" t="str">
        <f t="shared" ca="1" si="23"/>
        <v>=E330/E329-1</v>
      </c>
    </row>
    <row r="331" spans="1:7">
      <c r="A331" s="14">
        <v>43649</v>
      </c>
      <c r="B331" s="11">
        <f>VLOOKUP(A331,[1]HD_price_daily!$A$8:$B$1768,2,0)</f>
        <v>212.1</v>
      </c>
      <c r="C331">
        <f t="shared" si="20"/>
        <v>9.327115256495766E-3</v>
      </c>
      <c r="D331" s="1" t="str">
        <f t="shared" ca="1" si="21"/>
        <v>=B331/B330-1</v>
      </c>
      <c r="E331" s="8">
        <f>VLOOKUP(A331,'[1]S&amp;P500_DAILY'!$A$8:$B$1768,2,0)</f>
        <v>2995.82</v>
      </c>
      <c r="F331" s="1">
        <f t="shared" si="22"/>
        <v>7.672358989710748E-3</v>
      </c>
      <c r="G331" s="1" t="str">
        <f t="shared" ca="1" si="23"/>
        <v>=E331/E330-1</v>
      </c>
    </row>
    <row r="332" spans="1:7">
      <c r="A332" s="14">
        <v>43651</v>
      </c>
      <c r="B332" s="11">
        <f>VLOOKUP(A332,[1]HD_price_daily!$A$8:$B$1768,2,0)</f>
        <v>211.46</v>
      </c>
      <c r="C332">
        <f t="shared" si="20"/>
        <v>-3.0174446016029144E-3</v>
      </c>
      <c r="D332" s="1" t="str">
        <f t="shared" ca="1" si="21"/>
        <v>=B332/B331-1</v>
      </c>
      <c r="E332" s="8">
        <f>VLOOKUP(A332,'[1]S&amp;P500_DAILY'!$A$8:$B$1768,2,0)</f>
        <v>2990.41</v>
      </c>
      <c r="F332" s="1">
        <f t="shared" si="22"/>
        <v>-1.8058494836139527E-3</v>
      </c>
      <c r="G332" s="1" t="str">
        <f t="shared" ca="1" si="23"/>
        <v>=E332/E331-1</v>
      </c>
    </row>
    <row r="333" spans="1:7">
      <c r="A333" s="14">
        <v>43654</v>
      </c>
      <c r="B333" s="11">
        <f>VLOOKUP(A333,[1]HD_price_daily!$A$8:$B$1768,2,0)</f>
        <v>212.91</v>
      </c>
      <c r="C333">
        <f t="shared" si="20"/>
        <v>6.8570888111225692E-3</v>
      </c>
      <c r="D333" s="1" t="str">
        <f t="shared" ca="1" si="21"/>
        <v>=B333/B332-1</v>
      </c>
      <c r="E333" s="8">
        <f>VLOOKUP(A333,'[1]S&amp;P500_DAILY'!$A$8:$B$1768,2,0)</f>
        <v>2975.95</v>
      </c>
      <c r="F333" s="1">
        <f t="shared" si="22"/>
        <v>-4.8354573453138761E-3</v>
      </c>
      <c r="G333" s="1" t="str">
        <f t="shared" ca="1" si="23"/>
        <v>=E333/E332-1</v>
      </c>
    </row>
    <row r="334" spans="1:7">
      <c r="A334" s="14">
        <v>43655</v>
      </c>
      <c r="B334" s="11">
        <f>VLOOKUP(A334,[1]HD_price_daily!$A$8:$B$1768,2,0)</f>
        <v>212</v>
      </c>
      <c r="C334">
        <f t="shared" si="20"/>
        <v>-4.2741064299468556E-3</v>
      </c>
      <c r="D334" s="1" t="str">
        <f t="shared" ca="1" si="21"/>
        <v>=B334/B333-1</v>
      </c>
      <c r="E334" s="8">
        <f>VLOOKUP(A334,'[1]S&amp;P500_DAILY'!$A$8:$B$1768,2,0)</f>
        <v>2979.63</v>
      </c>
      <c r="F334" s="1">
        <f t="shared" si="22"/>
        <v>1.2365799156572876E-3</v>
      </c>
      <c r="G334" s="1" t="str">
        <f t="shared" ca="1" si="23"/>
        <v>=E334/E333-1</v>
      </c>
    </row>
    <row r="335" spans="1:7">
      <c r="A335" s="14">
        <v>43656</v>
      </c>
      <c r="B335" s="11">
        <f>VLOOKUP(A335,[1]HD_price_daily!$A$8:$B$1768,2,0)</f>
        <v>210.75</v>
      </c>
      <c r="C335">
        <f t="shared" si="20"/>
        <v>-5.8962264150943522E-3</v>
      </c>
      <c r="D335" s="1" t="str">
        <f t="shared" ca="1" si="21"/>
        <v>=B335/B334-1</v>
      </c>
      <c r="E335" s="8">
        <f>VLOOKUP(A335,'[1]S&amp;P500_DAILY'!$A$8:$B$1768,2,0)</f>
        <v>2993.07</v>
      </c>
      <c r="F335" s="1">
        <f t="shared" si="22"/>
        <v>4.5106271584056667E-3</v>
      </c>
      <c r="G335" s="1" t="str">
        <f t="shared" ca="1" si="23"/>
        <v>=E335/E334-1</v>
      </c>
    </row>
    <row r="336" spans="1:7">
      <c r="A336" s="14">
        <v>43657</v>
      </c>
      <c r="B336" s="11">
        <f>VLOOKUP(A336,[1]HD_price_daily!$A$8:$B$1768,2,0)</f>
        <v>214.04</v>
      </c>
      <c r="C336">
        <f t="shared" si="20"/>
        <v>1.5610913404507709E-2</v>
      </c>
      <c r="D336" s="1" t="str">
        <f t="shared" ca="1" si="21"/>
        <v>=B336/B335-1</v>
      </c>
      <c r="E336" s="8">
        <f>VLOOKUP(A336,'[1]S&amp;P500_DAILY'!$A$8:$B$1768,2,0)</f>
        <v>2999.91</v>
      </c>
      <c r="F336" s="1">
        <f t="shared" si="22"/>
        <v>2.285278994477169E-3</v>
      </c>
      <c r="G336" s="1" t="str">
        <f t="shared" ca="1" si="23"/>
        <v>=E336/E335-1</v>
      </c>
    </row>
    <row r="337" spans="1:7">
      <c r="A337" s="14">
        <v>43658</v>
      </c>
      <c r="B337" s="11">
        <f>VLOOKUP(A337,[1]HD_price_daily!$A$8:$B$1768,2,0)</f>
        <v>218.23</v>
      </c>
      <c r="C337">
        <f t="shared" si="20"/>
        <v>1.9575780227994777E-2</v>
      </c>
      <c r="D337" s="1" t="str">
        <f t="shared" ca="1" si="21"/>
        <v>=B337/B336-1</v>
      </c>
      <c r="E337" s="8">
        <f>VLOOKUP(A337,'[1]S&amp;P500_DAILY'!$A$8:$B$1768,2,0)</f>
        <v>3013.77</v>
      </c>
      <c r="F337" s="1">
        <f t="shared" si="22"/>
        <v>4.6201386041582193E-3</v>
      </c>
      <c r="G337" s="1" t="str">
        <f t="shared" ca="1" si="23"/>
        <v>=E337/E336-1</v>
      </c>
    </row>
    <row r="338" spans="1:7">
      <c r="A338" s="14">
        <v>43661</v>
      </c>
      <c r="B338" s="11">
        <f>VLOOKUP(A338,[1]HD_price_daily!$A$8:$B$1768,2,0)</f>
        <v>218.7</v>
      </c>
      <c r="C338">
        <f t="shared" si="20"/>
        <v>2.1536910598909387E-3</v>
      </c>
      <c r="D338" s="1" t="str">
        <f t="shared" ca="1" si="21"/>
        <v>=B338/B337-1</v>
      </c>
      <c r="E338" s="8">
        <f>VLOOKUP(A338,'[1]S&amp;P500_DAILY'!$A$8:$B$1768,2,0)</f>
        <v>3014.3</v>
      </c>
      <c r="F338" s="1">
        <f t="shared" si="22"/>
        <v>1.7585947169163063E-4</v>
      </c>
      <c r="G338" s="1" t="str">
        <f t="shared" ca="1" si="23"/>
        <v>=E338/E337-1</v>
      </c>
    </row>
    <row r="339" spans="1:7">
      <c r="A339" s="14">
        <v>43662</v>
      </c>
      <c r="B339" s="11">
        <f>VLOOKUP(A339,[1]HD_price_daily!$A$8:$B$1768,2,0)</f>
        <v>217.26</v>
      </c>
      <c r="C339">
        <f t="shared" si="20"/>
        <v>-6.5843621399176433E-3</v>
      </c>
      <c r="D339" s="1" t="str">
        <f t="shared" ca="1" si="21"/>
        <v>=B339/B338-1</v>
      </c>
      <c r="E339" s="8">
        <f>VLOOKUP(A339,'[1]S&amp;P500_DAILY'!$A$8:$B$1768,2,0)</f>
        <v>3004.04</v>
      </c>
      <c r="F339" s="1">
        <f t="shared" si="22"/>
        <v>-3.4037753375577573E-3</v>
      </c>
      <c r="G339" s="1" t="str">
        <f t="shared" ca="1" si="23"/>
        <v>=E339/E338-1</v>
      </c>
    </row>
    <row r="340" spans="1:7">
      <c r="A340" s="14">
        <v>43663</v>
      </c>
      <c r="B340" s="11">
        <f>VLOOKUP(A340,[1]HD_price_daily!$A$8:$B$1768,2,0)</f>
        <v>215.61</v>
      </c>
      <c r="C340">
        <f t="shared" si="20"/>
        <v>-7.5945871306267732E-3</v>
      </c>
      <c r="D340" s="1" t="str">
        <f t="shared" ca="1" si="21"/>
        <v>=B340/B339-1</v>
      </c>
      <c r="E340" s="8">
        <f>VLOOKUP(A340,'[1]S&amp;P500_DAILY'!$A$8:$B$1768,2,0)</f>
        <v>2984.42</v>
      </c>
      <c r="F340" s="1">
        <f t="shared" si="22"/>
        <v>-6.5312046444121474E-3</v>
      </c>
      <c r="G340" s="1" t="str">
        <f t="shared" ca="1" si="23"/>
        <v>=E340/E339-1</v>
      </c>
    </row>
    <row r="341" spans="1:7">
      <c r="A341" s="14">
        <v>43664</v>
      </c>
      <c r="B341" s="11">
        <f>VLOOKUP(A341,[1]HD_price_daily!$A$8:$B$1768,2,0)</f>
        <v>214.44</v>
      </c>
      <c r="C341">
        <f t="shared" si="20"/>
        <v>-5.4264644497009629E-3</v>
      </c>
      <c r="D341" s="1" t="str">
        <f t="shared" ca="1" si="21"/>
        <v>=B341/B340-1</v>
      </c>
      <c r="E341" s="8">
        <f>VLOOKUP(A341,'[1]S&amp;P500_DAILY'!$A$8:$B$1768,2,0)</f>
        <v>2995.11</v>
      </c>
      <c r="F341" s="1">
        <f t="shared" si="22"/>
        <v>3.5819355184592006E-3</v>
      </c>
      <c r="G341" s="1" t="str">
        <f t="shared" ca="1" si="23"/>
        <v>=E341/E340-1</v>
      </c>
    </row>
    <row r="342" spans="1:7">
      <c r="A342" s="14">
        <v>43665</v>
      </c>
      <c r="B342" s="11">
        <f>VLOOKUP(A342,[1]HD_price_daily!$A$8:$B$1768,2,0)</f>
        <v>213.04</v>
      </c>
      <c r="C342">
        <f t="shared" si="20"/>
        <v>-6.5286327177765946E-3</v>
      </c>
      <c r="D342" s="1" t="str">
        <f t="shared" ca="1" si="21"/>
        <v>=B342/B341-1</v>
      </c>
      <c r="E342" s="8">
        <f>VLOOKUP(A342,'[1]S&amp;P500_DAILY'!$A$8:$B$1768,2,0)</f>
        <v>2976.61</v>
      </c>
      <c r="F342" s="1">
        <f t="shared" si="22"/>
        <v>-6.1767347442999165E-3</v>
      </c>
      <c r="G342" s="1" t="str">
        <f t="shared" ca="1" si="23"/>
        <v>=E342/E341-1</v>
      </c>
    </row>
    <row r="343" spans="1:7">
      <c r="A343" s="14">
        <v>43668</v>
      </c>
      <c r="B343" s="11">
        <f>VLOOKUP(A343,[1]HD_price_daily!$A$8:$B$1768,2,0)</f>
        <v>211.27</v>
      </c>
      <c r="C343">
        <f t="shared" si="20"/>
        <v>-8.3082989110025984E-3</v>
      </c>
      <c r="D343" s="1" t="str">
        <f t="shared" ca="1" si="21"/>
        <v>=B343/B342-1</v>
      </c>
      <c r="E343" s="8">
        <f>VLOOKUP(A343,'[1]S&amp;P500_DAILY'!$A$8:$B$1768,2,0)</f>
        <v>2985.03</v>
      </c>
      <c r="F343" s="1">
        <f t="shared" si="22"/>
        <v>2.8287212634507952E-3</v>
      </c>
      <c r="G343" s="1" t="str">
        <f t="shared" ca="1" si="23"/>
        <v>=E343/E342-1</v>
      </c>
    </row>
    <row r="344" spans="1:7">
      <c r="A344" s="14">
        <v>43669</v>
      </c>
      <c r="B344" s="11">
        <f>VLOOKUP(A344,[1]HD_price_daily!$A$8:$B$1768,2,0)</f>
        <v>213.08</v>
      </c>
      <c r="C344">
        <f t="shared" si="20"/>
        <v>8.5672362379893841E-3</v>
      </c>
      <c r="D344" s="1" t="str">
        <f t="shared" ca="1" si="21"/>
        <v>=B344/B343-1</v>
      </c>
      <c r="E344" s="8">
        <f>VLOOKUP(A344,'[1]S&amp;P500_DAILY'!$A$8:$B$1768,2,0)</f>
        <v>3005.47</v>
      </c>
      <c r="F344" s="1">
        <f t="shared" si="22"/>
        <v>6.8475023701604076E-3</v>
      </c>
      <c r="G344" s="1" t="str">
        <f t="shared" ca="1" si="23"/>
        <v>=E344/E343-1</v>
      </c>
    </row>
    <row r="345" spans="1:7">
      <c r="A345" s="14">
        <v>43670</v>
      </c>
      <c r="B345" s="11">
        <f>VLOOKUP(A345,[1]HD_price_daily!$A$8:$B$1768,2,0)</f>
        <v>214.71</v>
      </c>
      <c r="C345">
        <f t="shared" si="20"/>
        <v>7.6497090294724845E-3</v>
      </c>
      <c r="D345" s="1" t="str">
        <f t="shared" ca="1" si="21"/>
        <v>=B345/B344-1</v>
      </c>
      <c r="E345" s="8">
        <f>VLOOKUP(A345,'[1]S&amp;P500_DAILY'!$A$8:$B$1768,2,0)</f>
        <v>3019.56</v>
      </c>
      <c r="F345" s="1">
        <f t="shared" si="22"/>
        <v>4.68811866363672E-3</v>
      </c>
      <c r="G345" s="1" t="str">
        <f t="shared" ca="1" si="23"/>
        <v>=E345/E344-1</v>
      </c>
    </row>
    <row r="346" spans="1:7">
      <c r="A346" s="14">
        <v>43671</v>
      </c>
      <c r="B346" s="11">
        <f>VLOOKUP(A346,[1]HD_price_daily!$A$8:$B$1768,2,0)</f>
        <v>215.55</v>
      </c>
      <c r="C346">
        <f t="shared" si="20"/>
        <v>3.9122537375995137E-3</v>
      </c>
      <c r="D346" s="1" t="str">
        <f t="shared" ca="1" si="21"/>
        <v>=B346/B345-1</v>
      </c>
      <c r="E346" s="8">
        <f>VLOOKUP(A346,'[1]S&amp;P500_DAILY'!$A$8:$B$1768,2,0)</f>
        <v>3003.67</v>
      </c>
      <c r="F346" s="1">
        <f t="shared" si="22"/>
        <v>-5.2623561048629197E-3</v>
      </c>
      <c r="G346" s="1" t="str">
        <f t="shared" ca="1" si="23"/>
        <v>=E346/E345-1</v>
      </c>
    </row>
    <row r="347" spans="1:7">
      <c r="A347" s="14">
        <v>43672</v>
      </c>
      <c r="B347" s="11">
        <f>VLOOKUP(A347,[1]HD_price_daily!$A$8:$B$1768,2,0)</f>
        <v>216.91</v>
      </c>
      <c r="C347">
        <f t="shared" si="20"/>
        <v>6.309440964973323E-3</v>
      </c>
      <c r="D347" s="1" t="str">
        <f t="shared" ca="1" si="21"/>
        <v>=B347/B346-1</v>
      </c>
      <c r="E347" s="8">
        <f>VLOOKUP(A347,'[1]S&amp;P500_DAILY'!$A$8:$B$1768,2,0)</f>
        <v>3025.86</v>
      </c>
      <c r="F347" s="1">
        <f t="shared" si="22"/>
        <v>7.3876291336931743E-3</v>
      </c>
      <c r="G347" s="1" t="str">
        <f t="shared" ca="1" si="23"/>
        <v>=E347/E346-1</v>
      </c>
    </row>
    <row r="348" spans="1:7">
      <c r="A348" s="14">
        <v>43675</v>
      </c>
      <c r="B348" s="11">
        <f>VLOOKUP(A348,[1]HD_price_daily!$A$8:$B$1768,2,0)</f>
        <v>218.04</v>
      </c>
      <c r="C348">
        <f t="shared" si="20"/>
        <v>5.209533908072439E-3</v>
      </c>
      <c r="D348" s="1" t="str">
        <f t="shared" ca="1" si="21"/>
        <v>=B348/B347-1</v>
      </c>
      <c r="E348" s="8">
        <f>VLOOKUP(A348,'[1]S&amp;P500_DAILY'!$A$8:$B$1768,2,0)</f>
        <v>3020.97</v>
      </c>
      <c r="F348" s="1">
        <f t="shared" si="22"/>
        <v>-1.6160694810732901E-3</v>
      </c>
      <c r="G348" s="1" t="str">
        <f t="shared" ca="1" si="23"/>
        <v>=E348/E347-1</v>
      </c>
    </row>
    <row r="349" spans="1:7">
      <c r="A349" s="14">
        <v>43676</v>
      </c>
      <c r="B349" s="11">
        <f>VLOOKUP(A349,[1]HD_price_daily!$A$8:$B$1768,2,0)</f>
        <v>217.36</v>
      </c>
      <c r="C349">
        <f t="shared" si="20"/>
        <v>-3.1186938176480661E-3</v>
      </c>
      <c r="D349" s="1" t="str">
        <f t="shared" ca="1" si="21"/>
        <v>=B349/B348-1</v>
      </c>
      <c r="E349" s="8">
        <f>VLOOKUP(A349,'[1]S&amp;P500_DAILY'!$A$8:$B$1768,2,0)</f>
        <v>3013.18</v>
      </c>
      <c r="F349" s="1">
        <f t="shared" si="22"/>
        <v>-2.5786419593706311E-3</v>
      </c>
      <c r="G349" s="1" t="str">
        <f t="shared" ca="1" si="23"/>
        <v>=E349/E348-1</v>
      </c>
    </row>
    <row r="350" spans="1:7">
      <c r="A350" s="14">
        <v>43677</v>
      </c>
      <c r="B350" s="11">
        <f>VLOOKUP(A350,[1]HD_price_daily!$A$8:$B$1768,2,0)</f>
        <v>213.69</v>
      </c>
      <c r="C350">
        <f t="shared" si="20"/>
        <v>-1.6884431358115681E-2</v>
      </c>
      <c r="D350" s="1" t="str">
        <f t="shared" ca="1" si="21"/>
        <v>=B350/B349-1</v>
      </c>
      <c r="E350" s="8">
        <f>VLOOKUP(A350,'[1]S&amp;P500_DAILY'!$A$8:$B$1768,2,0)</f>
        <v>2980.38</v>
      </c>
      <c r="F350" s="1">
        <f t="shared" si="22"/>
        <v>-1.0885509660889747E-2</v>
      </c>
      <c r="G350" s="1" t="str">
        <f t="shared" ca="1" si="23"/>
        <v>=E350/E349-1</v>
      </c>
    </row>
    <row r="351" spans="1:7">
      <c r="A351" s="14">
        <v>43678</v>
      </c>
      <c r="B351" s="11">
        <f>VLOOKUP(A351,[1]HD_price_daily!$A$8:$B$1768,2,0)</f>
        <v>212.83</v>
      </c>
      <c r="C351">
        <f t="shared" si="20"/>
        <v>-4.0245215031119441E-3</v>
      </c>
      <c r="D351" s="1" t="str">
        <f t="shared" ca="1" si="21"/>
        <v>=B351/B350-1</v>
      </c>
      <c r="E351" s="8">
        <f>VLOOKUP(A351,'[1]S&amp;P500_DAILY'!$A$8:$B$1768,2,0)</f>
        <v>2953.56</v>
      </c>
      <c r="F351" s="1">
        <f t="shared" si="22"/>
        <v>-8.9988524953193982E-3</v>
      </c>
      <c r="G351" s="1" t="str">
        <f t="shared" ca="1" si="23"/>
        <v>=E351/E350-1</v>
      </c>
    </row>
    <row r="352" spans="1:7">
      <c r="A352" s="14">
        <v>43679</v>
      </c>
      <c r="B352" s="11">
        <f>VLOOKUP(A352,[1]HD_price_daily!$A$8:$B$1768,2,0)</f>
        <v>212.15</v>
      </c>
      <c r="C352">
        <f t="shared" si="20"/>
        <v>-3.1950382934736732E-3</v>
      </c>
      <c r="D352" s="1" t="str">
        <f t="shared" ca="1" si="21"/>
        <v>=B352/B351-1</v>
      </c>
      <c r="E352" s="8">
        <f>VLOOKUP(A352,'[1]S&amp;P500_DAILY'!$A$8:$B$1768,2,0)</f>
        <v>2932.05</v>
      </c>
      <c r="F352" s="1">
        <f t="shared" si="22"/>
        <v>-7.2827367651240316E-3</v>
      </c>
      <c r="G352" s="1" t="str">
        <f t="shared" ca="1" si="23"/>
        <v>=E352/E351-1</v>
      </c>
    </row>
    <row r="353" spans="1:7">
      <c r="A353" s="14">
        <v>43682</v>
      </c>
      <c r="B353" s="11">
        <f>VLOOKUP(A353,[1]HD_price_daily!$A$8:$B$1768,2,0)</f>
        <v>204.94</v>
      </c>
      <c r="C353">
        <f t="shared" si="20"/>
        <v>-3.3985387697384017E-2</v>
      </c>
      <c r="D353" s="1" t="str">
        <f t="shared" ca="1" si="21"/>
        <v>=B353/B352-1</v>
      </c>
      <c r="E353" s="8">
        <f>VLOOKUP(A353,'[1]S&amp;P500_DAILY'!$A$8:$B$1768,2,0)</f>
        <v>2844.74</v>
      </c>
      <c r="F353" s="1">
        <f t="shared" si="22"/>
        <v>-2.9777800514998121E-2</v>
      </c>
      <c r="G353" s="1" t="str">
        <f t="shared" ca="1" si="23"/>
        <v>=E353/E352-1</v>
      </c>
    </row>
    <row r="354" spans="1:7">
      <c r="A354" s="14">
        <v>43683</v>
      </c>
      <c r="B354" s="11">
        <f>VLOOKUP(A354,[1]HD_price_daily!$A$8:$B$1768,2,0)</f>
        <v>208.8</v>
      </c>
      <c r="C354">
        <f t="shared" si="20"/>
        <v>1.8834780911486382E-2</v>
      </c>
      <c r="D354" s="1" t="str">
        <f t="shared" ca="1" si="21"/>
        <v>=B354/B353-1</v>
      </c>
      <c r="E354" s="8">
        <f>VLOOKUP(A354,'[1]S&amp;P500_DAILY'!$A$8:$B$1768,2,0)</f>
        <v>2881.77</v>
      </c>
      <c r="F354" s="1">
        <f t="shared" si="22"/>
        <v>1.3017006826634425E-2</v>
      </c>
      <c r="G354" s="1" t="str">
        <f t="shared" ca="1" si="23"/>
        <v>=E354/E353-1</v>
      </c>
    </row>
    <row r="355" spans="1:7">
      <c r="A355" s="14">
        <v>43684</v>
      </c>
      <c r="B355" s="11">
        <f>VLOOKUP(A355,[1]HD_price_daily!$A$8:$B$1768,2,0)</f>
        <v>207.91</v>
      </c>
      <c r="C355">
        <f t="shared" si="20"/>
        <v>-4.2624521072797128E-3</v>
      </c>
      <c r="D355" s="1" t="str">
        <f t="shared" ca="1" si="21"/>
        <v>=B355/B354-1</v>
      </c>
      <c r="E355" s="8">
        <f>VLOOKUP(A355,'[1]S&amp;P500_DAILY'!$A$8:$B$1768,2,0)</f>
        <v>2883.98</v>
      </c>
      <c r="F355" s="1">
        <f t="shared" si="22"/>
        <v>7.6688979342565133E-4</v>
      </c>
      <c r="G355" s="1" t="str">
        <f t="shared" ca="1" si="23"/>
        <v>=E355/E354-1</v>
      </c>
    </row>
    <row r="356" spans="1:7">
      <c r="A356" s="14">
        <v>43685</v>
      </c>
      <c r="B356" s="11">
        <f>VLOOKUP(A356,[1]HD_price_daily!$A$8:$B$1768,2,0)</f>
        <v>211.57</v>
      </c>
      <c r="C356">
        <f t="shared" si="20"/>
        <v>1.7603770862392398E-2</v>
      </c>
      <c r="D356" s="1" t="str">
        <f t="shared" ca="1" si="21"/>
        <v>=B356/B355-1</v>
      </c>
      <c r="E356" s="8">
        <f>VLOOKUP(A356,'[1]S&amp;P500_DAILY'!$A$8:$B$1768,2,0)</f>
        <v>2938.09</v>
      </c>
      <c r="F356" s="1">
        <f t="shared" si="22"/>
        <v>1.8762266035132091E-2</v>
      </c>
      <c r="G356" s="1" t="str">
        <f t="shared" ca="1" si="23"/>
        <v>=E356/E355-1</v>
      </c>
    </row>
    <row r="357" spans="1:7">
      <c r="A357" s="14">
        <v>43686</v>
      </c>
      <c r="B357" s="11">
        <f>VLOOKUP(A357,[1]HD_price_daily!$A$8:$B$1768,2,0)</f>
        <v>210.02</v>
      </c>
      <c r="C357">
        <f t="shared" si="20"/>
        <v>-7.3261804603675929E-3</v>
      </c>
      <c r="D357" s="1" t="str">
        <f t="shared" ca="1" si="21"/>
        <v>=B357/B356-1</v>
      </c>
      <c r="E357" s="8">
        <f>VLOOKUP(A357,'[1]S&amp;P500_DAILY'!$A$8:$B$1768,2,0)</f>
        <v>2918.65</v>
      </c>
      <c r="F357" s="1">
        <f t="shared" si="22"/>
        <v>-6.6165434006446588E-3</v>
      </c>
      <c r="G357" s="1" t="str">
        <f t="shared" ca="1" si="23"/>
        <v>=E357/E356-1</v>
      </c>
    </row>
    <row r="358" spans="1:7">
      <c r="A358" s="14">
        <v>43689</v>
      </c>
      <c r="B358" s="11">
        <f>VLOOKUP(A358,[1]HD_price_daily!$A$8:$B$1768,2,0)</f>
        <v>207.01</v>
      </c>
      <c r="C358">
        <f t="shared" si="20"/>
        <v>-1.4331968383963556E-2</v>
      </c>
      <c r="D358" s="1" t="str">
        <f t="shared" ca="1" si="21"/>
        <v>=B358/B357-1</v>
      </c>
      <c r="E358" s="8">
        <f>VLOOKUP(A358,'[1]S&amp;P500_DAILY'!$A$8:$B$1768,2,0)</f>
        <v>2883.75</v>
      </c>
      <c r="F358" s="1">
        <f t="shared" si="22"/>
        <v>-1.1957583129186489E-2</v>
      </c>
      <c r="G358" s="1" t="str">
        <f t="shared" ca="1" si="23"/>
        <v>=E358/E357-1</v>
      </c>
    </row>
    <row r="359" spans="1:7">
      <c r="A359" s="14">
        <v>43690</v>
      </c>
      <c r="B359" s="11">
        <f>VLOOKUP(A359,[1]HD_price_daily!$A$8:$B$1768,2,0)</f>
        <v>208.33</v>
      </c>
      <c r="C359">
        <f t="shared" si="20"/>
        <v>6.376503550553192E-3</v>
      </c>
      <c r="D359" s="1" t="str">
        <f t="shared" ca="1" si="21"/>
        <v>=B359/B358-1</v>
      </c>
      <c r="E359" s="8">
        <f>VLOOKUP(A359,'[1]S&amp;P500_DAILY'!$A$8:$B$1768,2,0)</f>
        <v>2926.32</v>
      </c>
      <c r="F359" s="1">
        <f t="shared" si="22"/>
        <v>1.4762028608582556E-2</v>
      </c>
      <c r="G359" s="1" t="str">
        <f t="shared" ca="1" si="23"/>
        <v>=E359/E358-1</v>
      </c>
    </row>
    <row r="360" spans="1:7">
      <c r="A360" s="14">
        <v>43691</v>
      </c>
      <c r="B360" s="11">
        <f>VLOOKUP(A360,[1]HD_price_daily!$A$8:$B$1768,2,0)</f>
        <v>201.59</v>
      </c>
      <c r="C360">
        <f t="shared" si="20"/>
        <v>-3.2352517640282241E-2</v>
      </c>
      <c r="D360" s="1" t="str">
        <f t="shared" ca="1" si="21"/>
        <v>=B360/B359-1</v>
      </c>
      <c r="E360" s="8">
        <f>VLOOKUP(A360,'[1]S&amp;P500_DAILY'!$A$8:$B$1768,2,0)</f>
        <v>2840.6</v>
      </c>
      <c r="F360" s="1">
        <f t="shared" si="22"/>
        <v>-2.9292763607534411E-2</v>
      </c>
      <c r="G360" s="1" t="str">
        <f t="shared" ca="1" si="23"/>
        <v>=E360/E359-1</v>
      </c>
    </row>
    <row r="361" spans="1:7">
      <c r="A361" s="14">
        <v>43692</v>
      </c>
      <c r="B361" s="11">
        <f>VLOOKUP(A361,[1]HD_price_daily!$A$8:$B$1768,2,0)</f>
        <v>201.79</v>
      </c>
      <c r="C361">
        <f t="shared" si="20"/>
        <v>9.9211270400312301E-4</v>
      </c>
      <c r="D361" s="1" t="str">
        <f t="shared" ca="1" si="21"/>
        <v>=B361/B360-1</v>
      </c>
      <c r="E361" s="8">
        <f>VLOOKUP(A361,'[1]S&amp;P500_DAILY'!$A$8:$B$1768,2,0)</f>
        <v>2847.6</v>
      </c>
      <c r="F361" s="1">
        <f t="shared" si="22"/>
        <v>2.464268112370549E-3</v>
      </c>
      <c r="G361" s="1" t="str">
        <f t="shared" ca="1" si="23"/>
        <v>=E361/E360-1</v>
      </c>
    </row>
    <row r="362" spans="1:7">
      <c r="A362" s="14">
        <v>43693</v>
      </c>
      <c r="B362" s="11">
        <f>VLOOKUP(A362,[1]HD_price_daily!$A$8:$B$1768,2,0)</f>
        <v>203.65</v>
      </c>
      <c r="C362">
        <f t="shared" si="20"/>
        <v>9.2175033450616617E-3</v>
      </c>
      <c r="D362" s="1" t="str">
        <f t="shared" ca="1" si="21"/>
        <v>=B362/B361-1</v>
      </c>
      <c r="E362" s="8">
        <f>VLOOKUP(A362,'[1]S&amp;P500_DAILY'!$A$8:$B$1768,2,0)</f>
        <v>2888.68</v>
      </c>
      <c r="F362" s="1">
        <f t="shared" si="22"/>
        <v>1.4426183452732166E-2</v>
      </c>
      <c r="G362" s="1" t="str">
        <f t="shared" ca="1" si="23"/>
        <v>=E362/E361-1</v>
      </c>
    </row>
    <row r="363" spans="1:7">
      <c r="A363" s="14">
        <v>43696</v>
      </c>
      <c r="B363" s="11">
        <f>VLOOKUP(A363,[1]HD_price_daily!$A$8:$B$1768,2,0)</f>
        <v>207.95</v>
      </c>
      <c r="C363">
        <f t="shared" si="20"/>
        <v>2.1114657500613809E-2</v>
      </c>
      <c r="D363" s="1" t="str">
        <f t="shared" ca="1" si="21"/>
        <v>=B363/B362-1</v>
      </c>
      <c r="E363" s="8">
        <f>VLOOKUP(A363,'[1]S&amp;P500_DAILY'!$A$8:$B$1768,2,0)</f>
        <v>2923.65</v>
      </c>
      <c r="F363" s="1">
        <f t="shared" si="22"/>
        <v>1.2105875347909967E-2</v>
      </c>
      <c r="G363" s="1" t="str">
        <f t="shared" ca="1" si="23"/>
        <v>=E363/E362-1</v>
      </c>
    </row>
    <row r="364" spans="1:7">
      <c r="A364" s="14">
        <v>43697</v>
      </c>
      <c r="B364" s="11">
        <f>VLOOKUP(A364,[1]HD_price_daily!$A$8:$B$1768,2,0)</f>
        <v>217.09</v>
      </c>
      <c r="C364">
        <f t="shared" si="20"/>
        <v>4.3952873286847938E-2</v>
      </c>
      <c r="D364" s="1" t="str">
        <f t="shared" ca="1" si="21"/>
        <v>=B364/B363-1</v>
      </c>
      <c r="E364" s="8">
        <f>VLOOKUP(A364,'[1]S&amp;P500_DAILY'!$A$8:$B$1768,2,0)</f>
        <v>2900.51</v>
      </c>
      <c r="F364" s="1">
        <f t="shared" si="22"/>
        <v>-7.9147640791475959E-3</v>
      </c>
      <c r="G364" s="1" t="str">
        <f t="shared" ca="1" si="23"/>
        <v>=E364/E363-1</v>
      </c>
    </row>
    <row r="365" spans="1:7">
      <c r="A365" s="14">
        <v>43698</v>
      </c>
      <c r="B365" s="11">
        <f>VLOOKUP(A365,[1]HD_price_daily!$A$8:$B$1768,2,0)</f>
        <v>220.4</v>
      </c>
      <c r="C365">
        <f t="shared" si="20"/>
        <v>1.5247132525680662E-2</v>
      </c>
      <c r="D365" s="1" t="str">
        <f t="shared" ca="1" si="21"/>
        <v>=B365/B364-1</v>
      </c>
      <c r="E365" s="8">
        <f>VLOOKUP(A365,'[1]S&amp;P500_DAILY'!$A$8:$B$1768,2,0)</f>
        <v>2924.43</v>
      </c>
      <c r="F365" s="1">
        <f t="shared" si="22"/>
        <v>8.2468255582637262E-3</v>
      </c>
      <c r="G365" s="1" t="str">
        <f t="shared" ca="1" si="23"/>
        <v>=E365/E364-1</v>
      </c>
    </row>
    <row r="366" spans="1:7">
      <c r="A366" s="14">
        <v>43699</v>
      </c>
      <c r="B366" s="11">
        <f>VLOOKUP(A366,[1]HD_price_daily!$A$8:$B$1768,2,0)</f>
        <v>221.02</v>
      </c>
      <c r="C366">
        <f t="shared" si="20"/>
        <v>2.8130671506352289E-3</v>
      </c>
      <c r="D366" s="1" t="str">
        <f t="shared" ca="1" si="21"/>
        <v>=B366/B365-1</v>
      </c>
      <c r="E366" s="8">
        <f>VLOOKUP(A366,'[1]S&amp;P500_DAILY'!$A$8:$B$1768,2,0)</f>
        <v>2922.95</v>
      </c>
      <c r="F366" s="1">
        <f t="shared" si="22"/>
        <v>-5.0608152699838094E-4</v>
      </c>
      <c r="G366" s="1" t="str">
        <f t="shared" ca="1" si="23"/>
        <v>=E366/E365-1</v>
      </c>
    </row>
    <row r="367" spans="1:7">
      <c r="A367" s="14">
        <v>43700</v>
      </c>
      <c r="B367" s="11">
        <f>VLOOKUP(A367,[1]HD_price_daily!$A$8:$B$1768,2,0)</f>
        <v>217.47</v>
      </c>
      <c r="C367">
        <f t="shared" si="20"/>
        <v>-1.6061894851144731E-2</v>
      </c>
      <c r="D367" s="1" t="str">
        <f t="shared" ca="1" si="21"/>
        <v>=B367/B366-1</v>
      </c>
      <c r="E367" s="8">
        <f>VLOOKUP(A367,'[1]S&amp;P500_DAILY'!$A$8:$B$1768,2,0)</f>
        <v>2847.11</v>
      </c>
      <c r="F367" s="1">
        <f t="shared" si="22"/>
        <v>-2.5946389777450785E-2</v>
      </c>
      <c r="G367" s="1" t="str">
        <f t="shared" ca="1" si="23"/>
        <v>=E367/E366-1</v>
      </c>
    </row>
    <row r="368" spans="1:7">
      <c r="A368" s="14">
        <v>43703</v>
      </c>
      <c r="B368" s="11">
        <f>VLOOKUP(A368,[1]HD_price_daily!$A$8:$B$1768,2,0)</f>
        <v>218.65</v>
      </c>
      <c r="C368">
        <f t="shared" si="20"/>
        <v>5.4260357750495203E-3</v>
      </c>
      <c r="D368" s="1" t="str">
        <f t="shared" ca="1" si="21"/>
        <v>=B368/B367-1</v>
      </c>
      <c r="E368" s="8">
        <f>VLOOKUP(A368,'[1]S&amp;P500_DAILY'!$A$8:$B$1768,2,0)</f>
        <v>2878.38</v>
      </c>
      <c r="F368" s="1">
        <f t="shared" si="22"/>
        <v>1.0983067039910699E-2</v>
      </c>
      <c r="G368" s="1" t="str">
        <f t="shared" ca="1" si="23"/>
        <v>=E368/E367-1</v>
      </c>
    </row>
    <row r="369" spans="1:7">
      <c r="A369" s="14">
        <v>43704</v>
      </c>
      <c r="B369" s="11">
        <f>VLOOKUP(A369,[1]HD_price_daily!$A$8:$B$1768,2,0)</f>
        <v>218.21</v>
      </c>
      <c r="C369">
        <f t="shared" si="20"/>
        <v>-2.0123485021723564E-3</v>
      </c>
      <c r="D369" s="1" t="str">
        <f t="shared" ca="1" si="21"/>
        <v>=B369/B368-1</v>
      </c>
      <c r="E369" s="8">
        <f>VLOOKUP(A369,'[1]S&amp;P500_DAILY'!$A$8:$B$1768,2,0)</f>
        <v>2869.16</v>
      </c>
      <c r="F369" s="1">
        <f t="shared" si="22"/>
        <v>-3.2031906836484936E-3</v>
      </c>
      <c r="G369" s="1" t="str">
        <f t="shared" ca="1" si="23"/>
        <v>=E369/E368-1</v>
      </c>
    </row>
    <row r="370" spans="1:7">
      <c r="A370" s="14">
        <v>43705</v>
      </c>
      <c r="B370" s="11">
        <f>VLOOKUP(A370,[1]HD_price_daily!$A$8:$B$1768,2,0)</f>
        <v>221.95</v>
      </c>
      <c r="C370">
        <f t="shared" si="20"/>
        <v>1.7139452820677192E-2</v>
      </c>
      <c r="D370" s="1" t="str">
        <f t="shared" ca="1" si="21"/>
        <v>=B370/B369-1</v>
      </c>
      <c r="E370" s="8">
        <f>VLOOKUP(A370,'[1]S&amp;P500_DAILY'!$A$8:$B$1768,2,0)</f>
        <v>2887.94</v>
      </c>
      <c r="F370" s="1">
        <f t="shared" si="22"/>
        <v>6.545469754213773E-3</v>
      </c>
      <c r="G370" s="1" t="str">
        <f t="shared" ca="1" si="23"/>
        <v>=E370/E369-1</v>
      </c>
    </row>
    <row r="371" spans="1:7">
      <c r="A371" s="14">
        <v>43706</v>
      </c>
      <c r="B371" s="11">
        <f>VLOOKUP(A371,[1]HD_price_daily!$A$8:$B$1768,2,0)</f>
        <v>227.32</v>
      </c>
      <c r="C371">
        <f t="shared" si="20"/>
        <v>2.4194638432079252E-2</v>
      </c>
      <c r="D371" s="1" t="str">
        <f t="shared" ca="1" si="21"/>
        <v>=B371/B370-1</v>
      </c>
      <c r="E371" s="8">
        <f>VLOOKUP(A371,'[1]S&amp;P500_DAILY'!$A$8:$B$1768,2,0)</f>
        <v>2924.58</v>
      </c>
      <c r="F371" s="1">
        <f t="shared" si="22"/>
        <v>1.2687244194824032E-2</v>
      </c>
      <c r="G371" s="1" t="str">
        <f t="shared" ca="1" si="23"/>
        <v>=E371/E370-1</v>
      </c>
    </row>
    <row r="372" spans="1:7">
      <c r="A372" s="14">
        <v>43707</v>
      </c>
      <c r="B372" s="11">
        <f>VLOOKUP(A372,[1]HD_price_daily!$A$8:$B$1768,2,0)</f>
        <v>227.91</v>
      </c>
      <c r="C372">
        <f t="shared" si="20"/>
        <v>2.5954601442899072E-3</v>
      </c>
      <c r="D372" s="1" t="str">
        <f t="shared" ca="1" si="21"/>
        <v>=B372/B371-1</v>
      </c>
      <c r="E372" s="8">
        <f>VLOOKUP(A372,'[1]S&amp;P500_DAILY'!$A$8:$B$1768,2,0)</f>
        <v>2926.46</v>
      </c>
      <c r="F372" s="1">
        <f t="shared" si="22"/>
        <v>6.4282734614895531E-4</v>
      </c>
      <c r="G372" s="1" t="str">
        <f t="shared" ca="1" si="23"/>
        <v>=E372/E371-1</v>
      </c>
    </row>
    <row r="373" spans="1:7">
      <c r="A373" s="14">
        <v>43711</v>
      </c>
      <c r="B373" s="11">
        <f>VLOOKUP(A373,[1]HD_price_daily!$A$8:$B$1768,2,0)</f>
        <v>224.07</v>
      </c>
      <c r="C373">
        <f t="shared" si="20"/>
        <v>-1.6848756087929462E-2</v>
      </c>
      <c r="D373" s="1" t="str">
        <f t="shared" ca="1" si="21"/>
        <v>=B373/B372-1</v>
      </c>
      <c r="E373" s="8">
        <f>VLOOKUP(A373,'[1]S&amp;P500_DAILY'!$A$8:$B$1768,2,0)</f>
        <v>2906.27</v>
      </c>
      <c r="F373" s="1">
        <f t="shared" si="22"/>
        <v>-6.8991204390287386E-3</v>
      </c>
      <c r="G373" s="1" t="str">
        <f t="shared" ca="1" si="23"/>
        <v>=E373/E372-1</v>
      </c>
    </row>
    <row r="374" spans="1:7">
      <c r="A374" s="14">
        <v>43712</v>
      </c>
      <c r="B374" s="11">
        <f>VLOOKUP(A374,[1]HD_price_daily!$A$8:$B$1768,2,0)</f>
        <v>224.15</v>
      </c>
      <c r="C374">
        <f t="shared" si="20"/>
        <v>3.5703128486641589E-4</v>
      </c>
      <c r="D374" s="1" t="str">
        <f t="shared" ca="1" si="21"/>
        <v>=B374/B373-1</v>
      </c>
      <c r="E374" s="8">
        <f>VLOOKUP(A374,'[1]S&amp;P500_DAILY'!$A$8:$B$1768,2,0)</f>
        <v>2937.78</v>
      </c>
      <c r="F374" s="1">
        <f t="shared" si="22"/>
        <v>1.0842075925499017E-2</v>
      </c>
      <c r="G374" s="1" t="str">
        <f t="shared" ca="1" si="23"/>
        <v>=E374/E373-1</v>
      </c>
    </row>
    <row r="375" spans="1:7">
      <c r="A375" s="14">
        <v>43713</v>
      </c>
      <c r="B375" s="11">
        <f>VLOOKUP(A375,[1]HD_price_daily!$A$8:$B$1768,2,0)</f>
        <v>228.15</v>
      </c>
      <c r="C375">
        <f t="shared" si="20"/>
        <v>1.7845192951148725E-2</v>
      </c>
      <c r="D375" s="1" t="str">
        <f t="shared" ca="1" si="21"/>
        <v>=B375/B374-1</v>
      </c>
      <c r="E375" s="8">
        <f>VLOOKUP(A375,'[1]S&amp;P500_DAILY'!$A$8:$B$1768,2,0)</f>
        <v>2976</v>
      </c>
      <c r="F375" s="1">
        <f t="shared" si="22"/>
        <v>1.3009823744460025E-2</v>
      </c>
      <c r="G375" s="1" t="str">
        <f t="shared" ca="1" si="23"/>
        <v>=E375/E374-1</v>
      </c>
    </row>
    <row r="376" spans="1:7">
      <c r="A376" s="14">
        <v>43714</v>
      </c>
      <c r="B376" s="11">
        <f>VLOOKUP(A376,[1]HD_price_daily!$A$8:$B$1768,2,0)</f>
        <v>231.13</v>
      </c>
      <c r="C376">
        <f t="shared" si="20"/>
        <v>1.3061582292351437E-2</v>
      </c>
      <c r="D376" s="1" t="str">
        <f t="shared" ca="1" si="21"/>
        <v>=B376/B375-1</v>
      </c>
      <c r="E376" s="8">
        <f>VLOOKUP(A376,'[1]S&amp;P500_DAILY'!$A$8:$B$1768,2,0)</f>
        <v>2978.71</v>
      </c>
      <c r="F376" s="1">
        <f t="shared" si="22"/>
        <v>9.1061827956995245E-4</v>
      </c>
      <c r="G376" s="1" t="str">
        <f t="shared" ca="1" si="23"/>
        <v>=E376/E375-1</v>
      </c>
    </row>
    <row r="377" spans="1:7">
      <c r="A377" s="14">
        <v>43717</v>
      </c>
      <c r="B377" s="11">
        <f>VLOOKUP(A377,[1]HD_price_daily!$A$8:$B$1768,2,0)</f>
        <v>232.87</v>
      </c>
      <c r="C377">
        <f t="shared" si="20"/>
        <v>7.5282308657464991E-3</v>
      </c>
      <c r="D377" s="1" t="str">
        <f t="shared" ca="1" si="21"/>
        <v>=B377/B376-1</v>
      </c>
      <c r="E377" s="8">
        <f>VLOOKUP(A377,'[1]S&amp;P500_DAILY'!$A$8:$B$1768,2,0)</f>
        <v>2978.43</v>
      </c>
      <c r="F377" s="1">
        <f t="shared" si="22"/>
        <v>-9.4000423002005284E-5</v>
      </c>
      <c r="G377" s="1" t="str">
        <f t="shared" ca="1" si="23"/>
        <v>=E377/E376-1</v>
      </c>
    </row>
    <row r="378" spans="1:7">
      <c r="A378" s="14">
        <v>43718</v>
      </c>
      <c r="B378" s="11">
        <f>VLOOKUP(A378,[1]HD_price_daily!$A$8:$B$1768,2,0)</f>
        <v>233</v>
      </c>
      <c r="C378">
        <f t="shared" si="20"/>
        <v>5.582513848927384E-4</v>
      </c>
      <c r="D378" s="1" t="str">
        <f t="shared" ca="1" si="21"/>
        <v>=B378/B377-1</v>
      </c>
      <c r="E378" s="8">
        <f>VLOOKUP(A378,'[1]S&amp;P500_DAILY'!$A$8:$B$1768,2,0)</f>
        <v>2979.39</v>
      </c>
      <c r="F378" s="1">
        <f t="shared" si="22"/>
        <v>3.2231746255573235E-4</v>
      </c>
      <c r="G378" s="1" t="str">
        <f t="shared" ca="1" si="23"/>
        <v>=E378/E377-1</v>
      </c>
    </row>
    <row r="379" spans="1:7">
      <c r="A379" s="14">
        <v>43719</v>
      </c>
      <c r="B379" s="11">
        <f>VLOOKUP(A379,[1]HD_price_daily!$A$8:$B$1768,2,0)</f>
        <v>232.66</v>
      </c>
      <c r="C379">
        <f t="shared" si="20"/>
        <v>-1.4592274678111306E-3</v>
      </c>
      <c r="D379" s="1" t="str">
        <f t="shared" ca="1" si="21"/>
        <v>=B379/B378-1</v>
      </c>
      <c r="E379" s="8">
        <f>VLOOKUP(A379,'[1]S&amp;P500_DAILY'!$A$8:$B$1768,2,0)</f>
        <v>3000.93</v>
      </c>
      <c r="F379" s="1">
        <f t="shared" si="22"/>
        <v>7.2296678179091245E-3</v>
      </c>
      <c r="G379" s="1" t="str">
        <f t="shared" ca="1" si="23"/>
        <v>=E379/E378-1</v>
      </c>
    </row>
    <row r="380" spans="1:7">
      <c r="A380" s="14">
        <v>43720</v>
      </c>
      <c r="B380" s="11">
        <f>VLOOKUP(A380,[1]HD_price_daily!$A$8:$B$1768,2,0)</f>
        <v>233.8</v>
      </c>
      <c r="C380">
        <f t="shared" si="20"/>
        <v>4.8998538640077083E-3</v>
      </c>
      <c r="D380" s="1" t="str">
        <f t="shared" ca="1" si="21"/>
        <v>=B380/B379-1</v>
      </c>
      <c r="E380" s="8">
        <f>VLOOKUP(A380,'[1]S&amp;P500_DAILY'!$A$8:$B$1768,2,0)</f>
        <v>3009.57</v>
      </c>
      <c r="F380" s="1">
        <f t="shared" si="22"/>
        <v>2.8791074766822966E-3</v>
      </c>
      <c r="G380" s="1" t="str">
        <f t="shared" ca="1" si="23"/>
        <v>=E380/E379-1</v>
      </c>
    </row>
    <row r="381" spans="1:7">
      <c r="A381" s="14">
        <v>43721</v>
      </c>
      <c r="B381" s="11">
        <f>VLOOKUP(A381,[1]HD_price_daily!$A$8:$B$1768,2,0)</f>
        <v>233.98</v>
      </c>
      <c r="C381">
        <f t="shared" si="20"/>
        <v>7.6988879384076725E-4</v>
      </c>
      <c r="D381" s="1" t="str">
        <f t="shared" ca="1" si="21"/>
        <v>=B381/B380-1</v>
      </c>
      <c r="E381" s="8">
        <f>VLOOKUP(A381,'[1]S&amp;P500_DAILY'!$A$8:$B$1768,2,0)</f>
        <v>3007.39</v>
      </c>
      <c r="F381" s="1">
        <f t="shared" si="22"/>
        <v>-7.2435597111886185E-4</v>
      </c>
      <c r="G381" s="1" t="str">
        <f t="shared" ca="1" si="23"/>
        <v>=E381/E380-1</v>
      </c>
    </row>
    <row r="382" spans="1:7">
      <c r="A382" s="14">
        <v>43724</v>
      </c>
      <c r="B382" s="11">
        <f>VLOOKUP(A382,[1]HD_price_daily!$A$8:$B$1768,2,0)</f>
        <v>230.99</v>
      </c>
      <c r="C382">
        <f t="shared" si="20"/>
        <v>-1.2778869988887886E-2</v>
      </c>
      <c r="D382" s="1" t="str">
        <f t="shared" ca="1" si="21"/>
        <v>=B382/B381-1</v>
      </c>
      <c r="E382" s="8">
        <f>VLOOKUP(A382,'[1]S&amp;P500_DAILY'!$A$8:$B$1768,2,0)</f>
        <v>2997.96</v>
      </c>
      <c r="F382" s="1">
        <f t="shared" si="22"/>
        <v>-3.1356092824674775E-3</v>
      </c>
      <c r="G382" s="1" t="str">
        <f t="shared" ca="1" si="23"/>
        <v>=E382/E381-1</v>
      </c>
    </row>
    <row r="383" spans="1:7">
      <c r="A383" s="14">
        <v>43725</v>
      </c>
      <c r="B383" s="11">
        <f>VLOOKUP(A383,[1]HD_price_daily!$A$8:$B$1768,2,0)</f>
        <v>230.21</v>
      </c>
      <c r="C383">
        <f t="shared" si="20"/>
        <v>-3.3767695571237377E-3</v>
      </c>
      <c r="D383" s="1" t="str">
        <f t="shared" ca="1" si="21"/>
        <v>=B383/B382-1</v>
      </c>
      <c r="E383" s="8">
        <f>VLOOKUP(A383,'[1]S&amp;P500_DAILY'!$A$8:$B$1768,2,0)</f>
        <v>3005.7</v>
      </c>
      <c r="F383" s="1">
        <f t="shared" si="22"/>
        <v>2.5817555938036918E-3</v>
      </c>
      <c r="G383" s="1" t="str">
        <f t="shared" ca="1" si="23"/>
        <v>=E383/E382-1</v>
      </c>
    </row>
    <row r="384" spans="1:7">
      <c r="A384" s="14">
        <v>43726</v>
      </c>
      <c r="B384" s="11">
        <f>VLOOKUP(A384,[1]HD_price_daily!$A$8:$B$1768,2,0)</f>
        <v>230.83</v>
      </c>
      <c r="C384">
        <f t="shared" si="20"/>
        <v>2.6931931714522239E-3</v>
      </c>
      <c r="D384" s="1" t="str">
        <f t="shared" ca="1" si="21"/>
        <v>=B384/B383-1</v>
      </c>
      <c r="E384" s="8">
        <f>VLOOKUP(A384,'[1]S&amp;P500_DAILY'!$A$8:$B$1768,2,0)</f>
        <v>3006.73</v>
      </c>
      <c r="F384" s="1">
        <f t="shared" si="22"/>
        <v>3.4268223708289192E-4</v>
      </c>
      <c r="G384" s="1" t="str">
        <f t="shared" ca="1" si="23"/>
        <v>=E384/E383-1</v>
      </c>
    </row>
    <row r="385" spans="1:7">
      <c r="A385" s="14">
        <v>43727</v>
      </c>
      <c r="B385" s="11">
        <f>VLOOKUP(A385,[1]HD_price_daily!$A$8:$B$1768,2,0)</f>
        <v>228.12</v>
      </c>
      <c r="C385">
        <f t="shared" si="20"/>
        <v>-1.1740241736342805E-2</v>
      </c>
      <c r="D385" s="1" t="str">
        <f t="shared" ca="1" si="21"/>
        <v>=B385/B384-1</v>
      </c>
      <c r="E385" s="8">
        <f>VLOOKUP(A385,'[1]S&amp;P500_DAILY'!$A$8:$B$1768,2,0)</f>
        <v>3006.79</v>
      </c>
      <c r="F385" s="1">
        <f t="shared" si="22"/>
        <v>1.9955233758972568E-5</v>
      </c>
      <c r="G385" s="1" t="str">
        <f t="shared" ca="1" si="23"/>
        <v>=E385/E384-1</v>
      </c>
    </row>
    <row r="386" spans="1:7">
      <c r="A386" s="14">
        <v>43728</v>
      </c>
      <c r="B386" s="11">
        <f>VLOOKUP(A386,[1]HD_price_daily!$A$8:$B$1768,2,0)</f>
        <v>224.67</v>
      </c>
      <c r="C386">
        <f t="shared" si="20"/>
        <v>-1.5123619147817013E-2</v>
      </c>
      <c r="D386" s="1" t="str">
        <f t="shared" ca="1" si="21"/>
        <v>=B386/B385-1</v>
      </c>
      <c r="E386" s="8">
        <f>VLOOKUP(A386,'[1]S&amp;P500_DAILY'!$A$8:$B$1768,2,0)</f>
        <v>2992.07</v>
      </c>
      <c r="F386" s="1">
        <f t="shared" si="22"/>
        <v>-4.895586322955614E-3</v>
      </c>
      <c r="G386" s="1" t="str">
        <f t="shared" ca="1" si="23"/>
        <v>=E386/E385-1</v>
      </c>
    </row>
    <row r="387" spans="1:7">
      <c r="A387" s="14">
        <v>43731</v>
      </c>
      <c r="B387" s="11">
        <f>VLOOKUP(A387,[1]HD_price_daily!$A$8:$B$1768,2,0)</f>
        <v>226.25</v>
      </c>
      <c r="C387">
        <f t="shared" si="20"/>
        <v>7.0325366092491848E-3</v>
      </c>
      <c r="D387" s="1" t="str">
        <f t="shared" ca="1" si="21"/>
        <v>=B387/B386-1</v>
      </c>
      <c r="E387" s="8">
        <f>VLOOKUP(A387,'[1]S&amp;P500_DAILY'!$A$8:$B$1768,2,0)</f>
        <v>2991.78</v>
      </c>
      <c r="F387" s="1">
        <f t="shared" si="22"/>
        <v>-9.6922866109405703E-5</v>
      </c>
      <c r="G387" s="1" t="str">
        <f t="shared" ca="1" si="23"/>
        <v>=E387/E386-1</v>
      </c>
    </row>
    <row r="388" spans="1:7">
      <c r="A388" s="14">
        <v>43732</v>
      </c>
      <c r="B388" s="11">
        <f>VLOOKUP(A388,[1]HD_price_daily!$A$8:$B$1768,2,0)</f>
        <v>225.41</v>
      </c>
      <c r="C388">
        <f t="shared" ref="C388:C451" si="24">B388/B387-1</f>
        <v>-3.7127071823204183E-3</v>
      </c>
      <c r="D388" s="1" t="str">
        <f t="shared" ref="D388:D451" ca="1" si="25">_xlfn.FORMULATEXT(C388)</f>
        <v>=B388/B387-1</v>
      </c>
      <c r="E388" s="8">
        <f>VLOOKUP(A388,'[1]S&amp;P500_DAILY'!$A$8:$B$1768,2,0)</f>
        <v>2966.6</v>
      </c>
      <c r="F388" s="1">
        <f t="shared" ref="F388:F451" si="26">E388/E387-1</f>
        <v>-8.4163942535883107E-3</v>
      </c>
      <c r="G388" s="1" t="str">
        <f t="shared" ref="G388:G451" ca="1" si="27">_xlfn.FORMULATEXT(F388)</f>
        <v>=E388/E387-1</v>
      </c>
    </row>
    <row r="389" spans="1:7">
      <c r="A389" s="14">
        <v>43733</v>
      </c>
      <c r="B389" s="11">
        <f>VLOOKUP(A389,[1]HD_price_daily!$A$8:$B$1768,2,0)</f>
        <v>228.1</v>
      </c>
      <c r="C389">
        <f t="shared" si="24"/>
        <v>1.1933809502683967E-2</v>
      </c>
      <c r="D389" s="1" t="str">
        <f t="shared" ca="1" si="25"/>
        <v>=B389/B388-1</v>
      </c>
      <c r="E389" s="8">
        <f>VLOOKUP(A389,'[1]S&amp;P500_DAILY'!$A$8:$B$1768,2,0)</f>
        <v>2984.87</v>
      </c>
      <c r="F389" s="1">
        <f t="shared" si="26"/>
        <v>6.1585653610194413E-3</v>
      </c>
      <c r="G389" s="1" t="str">
        <f t="shared" ca="1" si="27"/>
        <v>=E389/E388-1</v>
      </c>
    </row>
    <row r="390" spans="1:7">
      <c r="A390" s="14">
        <v>43734</v>
      </c>
      <c r="B390" s="11">
        <f>VLOOKUP(A390,[1]HD_price_daily!$A$8:$B$1768,2,0)</f>
        <v>229.79</v>
      </c>
      <c r="C390">
        <f t="shared" si="24"/>
        <v>7.409031126698773E-3</v>
      </c>
      <c r="D390" s="1" t="str">
        <f t="shared" ca="1" si="25"/>
        <v>=B390/B389-1</v>
      </c>
      <c r="E390" s="8">
        <f>VLOOKUP(A390,'[1]S&amp;P500_DAILY'!$A$8:$B$1768,2,0)</f>
        <v>2977.62</v>
      </c>
      <c r="F390" s="1">
        <f t="shared" si="26"/>
        <v>-2.4289165022262083E-3</v>
      </c>
      <c r="G390" s="1" t="str">
        <f t="shared" ca="1" si="27"/>
        <v>=E390/E389-1</v>
      </c>
    </row>
    <row r="391" spans="1:7">
      <c r="A391" s="14">
        <v>43735</v>
      </c>
      <c r="B391" s="11">
        <f>VLOOKUP(A391,[1]HD_price_daily!$A$8:$B$1768,2,0)</f>
        <v>229.86</v>
      </c>
      <c r="C391">
        <f t="shared" si="24"/>
        <v>3.0462596283564736E-4</v>
      </c>
      <c r="D391" s="1" t="str">
        <f t="shared" ca="1" si="25"/>
        <v>=B391/B390-1</v>
      </c>
      <c r="E391" s="8">
        <f>VLOOKUP(A391,'[1]S&amp;P500_DAILY'!$A$8:$B$1768,2,0)</f>
        <v>2961.79</v>
      </c>
      <c r="F391" s="1">
        <f t="shared" si="26"/>
        <v>-5.316326462073695E-3</v>
      </c>
      <c r="G391" s="1" t="str">
        <f t="shared" ca="1" si="27"/>
        <v>=E391/E390-1</v>
      </c>
    </row>
    <row r="392" spans="1:7">
      <c r="A392" s="14">
        <v>43738</v>
      </c>
      <c r="B392" s="11">
        <f>VLOOKUP(A392,[1]HD_price_daily!$A$8:$B$1768,2,0)</f>
        <v>232.02</v>
      </c>
      <c r="C392">
        <f t="shared" si="24"/>
        <v>9.3970242756460376E-3</v>
      </c>
      <c r="D392" s="1" t="str">
        <f t="shared" ca="1" si="25"/>
        <v>=B392/B391-1</v>
      </c>
      <c r="E392" s="8">
        <f>VLOOKUP(A392,'[1]S&amp;P500_DAILY'!$A$8:$B$1768,2,0)</f>
        <v>2976.74</v>
      </c>
      <c r="F392" s="1">
        <f t="shared" si="26"/>
        <v>5.0476232278453548E-3</v>
      </c>
      <c r="G392" s="1" t="str">
        <f t="shared" ca="1" si="27"/>
        <v>=E392/E391-1</v>
      </c>
    </row>
    <row r="393" spans="1:7">
      <c r="A393" s="14">
        <v>43739</v>
      </c>
      <c r="B393" s="11">
        <f>VLOOKUP(A393,[1]HD_price_daily!$A$8:$B$1768,2,0)</f>
        <v>231.08</v>
      </c>
      <c r="C393">
        <f t="shared" si="24"/>
        <v>-4.0513748814757777E-3</v>
      </c>
      <c r="D393" s="1" t="str">
        <f t="shared" ca="1" si="25"/>
        <v>=B393/B392-1</v>
      </c>
      <c r="E393" s="8">
        <f>VLOOKUP(A393,'[1]S&amp;P500_DAILY'!$A$8:$B$1768,2,0)</f>
        <v>2940.25</v>
      </c>
      <c r="F393" s="1">
        <f t="shared" si="26"/>
        <v>-1.2258376613342059E-2</v>
      </c>
      <c r="G393" s="1" t="str">
        <f t="shared" ca="1" si="27"/>
        <v>=E393/E392-1</v>
      </c>
    </row>
    <row r="394" spans="1:7">
      <c r="A394" s="14">
        <v>43740</v>
      </c>
      <c r="B394" s="11">
        <f>VLOOKUP(A394,[1]HD_price_daily!$A$8:$B$1768,2,0)</f>
        <v>225.55</v>
      </c>
      <c r="C394">
        <f t="shared" si="24"/>
        <v>-2.3931106110437916E-2</v>
      </c>
      <c r="D394" s="1" t="str">
        <f t="shared" ca="1" si="25"/>
        <v>=B394/B393-1</v>
      </c>
      <c r="E394" s="8">
        <f>VLOOKUP(A394,'[1]S&amp;P500_DAILY'!$A$8:$B$1768,2,0)</f>
        <v>2887.61</v>
      </c>
      <c r="F394" s="1">
        <f t="shared" si="26"/>
        <v>-1.7903239520448921E-2</v>
      </c>
      <c r="G394" s="1" t="str">
        <f t="shared" ca="1" si="27"/>
        <v>=E394/E393-1</v>
      </c>
    </row>
    <row r="395" spans="1:7">
      <c r="A395" s="14">
        <v>43741</v>
      </c>
      <c r="B395" s="11">
        <f>VLOOKUP(A395,[1]HD_price_daily!$A$8:$B$1768,2,0)</f>
        <v>226.81</v>
      </c>
      <c r="C395">
        <f t="shared" si="24"/>
        <v>5.5863444912436222E-3</v>
      </c>
      <c r="D395" s="1" t="str">
        <f t="shared" ca="1" si="25"/>
        <v>=B395/B394-1</v>
      </c>
      <c r="E395" s="8">
        <f>VLOOKUP(A395,'[1]S&amp;P500_DAILY'!$A$8:$B$1768,2,0)</f>
        <v>2910.63</v>
      </c>
      <c r="F395" s="1">
        <f t="shared" si="26"/>
        <v>7.9719906774113891E-3</v>
      </c>
      <c r="G395" s="1" t="str">
        <f t="shared" ca="1" si="27"/>
        <v>=E395/E394-1</v>
      </c>
    </row>
    <row r="396" spans="1:7">
      <c r="A396" s="14">
        <v>43742</v>
      </c>
      <c r="B396" s="11">
        <f>VLOOKUP(A396,[1]HD_price_daily!$A$8:$B$1768,2,0)</f>
        <v>227.93</v>
      </c>
      <c r="C396">
        <f t="shared" si="24"/>
        <v>4.9380538776950811E-3</v>
      </c>
      <c r="D396" s="1" t="str">
        <f t="shared" ca="1" si="25"/>
        <v>=B396/B395-1</v>
      </c>
      <c r="E396" s="8">
        <f>VLOOKUP(A396,'[1]S&amp;P500_DAILY'!$A$8:$B$1768,2,0)</f>
        <v>2952.01</v>
      </c>
      <c r="F396" s="1">
        <f t="shared" si="26"/>
        <v>1.4216853396000317E-2</v>
      </c>
      <c r="G396" s="1" t="str">
        <f t="shared" ca="1" si="27"/>
        <v>=E396/E395-1</v>
      </c>
    </row>
    <row r="397" spans="1:7">
      <c r="A397" s="14">
        <v>43745</v>
      </c>
      <c r="B397" s="11">
        <f>VLOOKUP(A397,[1]HD_price_daily!$A$8:$B$1768,2,0)</f>
        <v>226.74</v>
      </c>
      <c r="C397">
        <f t="shared" si="24"/>
        <v>-5.2209011538629779E-3</v>
      </c>
      <c r="D397" s="1" t="str">
        <f t="shared" ca="1" si="25"/>
        <v>=B397/B396-1</v>
      </c>
      <c r="E397" s="8">
        <f>VLOOKUP(A397,'[1]S&amp;P500_DAILY'!$A$8:$B$1768,2,0)</f>
        <v>2938.79</v>
      </c>
      <c r="F397" s="1">
        <f t="shared" si="26"/>
        <v>-4.4783046127893078E-3</v>
      </c>
      <c r="G397" s="1" t="str">
        <f t="shared" ca="1" si="27"/>
        <v>=E397/E396-1</v>
      </c>
    </row>
    <row r="398" spans="1:7">
      <c r="A398" s="14">
        <v>43746</v>
      </c>
      <c r="B398" s="11">
        <f>VLOOKUP(A398,[1]HD_price_daily!$A$8:$B$1768,2,0)</f>
        <v>226.67</v>
      </c>
      <c r="C398">
        <f t="shared" si="24"/>
        <v>-3.0872364823153475E-4</v>
      </c>
      <c r="D398" s="1" t="str">
        <f t="shared" ca="1" si="25"/>
        <v>=B398/B397-1</v>
      </c>
      <c r="E398" s="8">
        <f>VLOOKUP(A398,'[1]S&amp;P500_DAILY'!$A$8:$B$1768,2,0)</f>
        <v>2893.06</v>
      </c>
      <c r="F398" s="1">
        <f t="shared" si="26"/>
        <v>-1.5560826054260457E-2</v>
      </c>
      <c r="G398" s="1" t="str">
        <f t="shared" ca="1" si="27"/>
        <v>=E398/E397-1</v>
      </c>
    </row>
    <row r="399" spans="1:7">
      <c r="A399" s="14">
        <v>43747</v>
      </c>
      <c r="B399" s="11">
        <f>VLOOKUP(A399,[1]HD_price_daily!$A$8:$B$1768,2,0)</f>
        <v>228.94</v>
      </c>
      <c r="C399">
        <f t="shared" si="24"/>
        <v>1.0014558609432234E-2</v>
      </c>
      <c r="D399" s="1" t="str">
        <f t="shared" ca="1" si="25"/>
        <v>=B399/B398-1</v>
      </c>
      <c r="E399" s="8">
        <f>VLOOKUP(A399,'[1]S&amp;P500_DAILY'!$A$8:$B$1768,2,0)</f>
        <v>2919.4</v>
      </c>
      <c r="F399" s="1">
        <f t="shared" si="26"/>
        <v>9.104546742895181E-3</v>
      </c>
      <c r="G399" s="1" t="str">
        <f t="shared" ca="1" si="27"/>
        <v>=E399/E398-1</v>
      </c>
    </row>
    <row r="400" spans="1:7">
      <c r="A400" s="14">
        <v>43748</v>
      </c>
      <c r="B400" s="11">
        <f>VLOOKUP(A400,[1]HD_price_daily!$A$8:$B$1768,2,0)</f>
        <v>231.61</v>
      </c>
      <c r="C400">
        <f t="shared" si="24"/>
        <v>1.1662444308552455E-2</v>
      </c>
      <c r="D400" s="1" t="str">
        <f t="shared" ca="1" si="25"/>
        <v>=B400/B399-1</v>
      </c>
      <c r="E400" s="8">
        <f>VLOOKUP(A400,'[1]S&amp;P500_DAILY'!$A$8:$B$1768,2,0)</f>
        <v>2938.13</v>
      </c>
      <c r="F400" s="1">
        <f t="shared" si="26"/>
        <v>6.4157018565458301E-3</v>
      </c>
      <c r="G400" s="1" t="str">
        <f t="shared" ca="1" si="27"/>
        <v>=E400/E399-1</v>
      </c>
    </row>
    <row r="401" spans="1:7">
      <c r="A401" s="14">
        <v>43749</v>
      </c>
      <c r="B401" s="11">
        <f>VLOOKUP(A401,[1]HD_price_daily!$A$8:$B$1768,2,0)</f>
        <v>234.66</v>
      </c>
      <c r="C401">
        <f t="shared" si="24"/>
        <v>1.3168688744009227E-2</v>
      </c>
      <c r="D401" s="1" t="str">
        <f t="shared" ca="1" si="25"/>
        <v>=B401/B400-1</v>
      </c>
      <c r="E401" s="8">
        <f>VLOOKUP(A401,'[1]S&amp;P500_DAILY'!$A$8:$B$1768,2,0)</f>
        <v>2970.27</v>
      </c>
      <c r="F401" s="1">
        <f t="shared" si="26"/>
        <v>1.0938930544257763E-2</v>
      </c>
      <c r="G401" s="1" t="str">
        <f t="shared" ca="1" si="27"/>
        <v>=E401/E400-1</v>
      </c>
    </row>
    <row r="402" spans="1:7">
      <c r="A402" s="14">
        <v>43752</v>
      </c>
      <c r="B402" s="11">
        <f>VLOOKUP(A402,[1]HD_price_daily!$A$8:$B$1768,2,0)</f>
        <v>234.18</v>
      </c>
      <c r="C402">
        <f t="shared" si="24"/>
        <v>-2.0455126566095716E-3</v>
      </c>
      <c r="D402" s="1" t="str">
        <f t="shared" ca="1" si="25"/>
        <v>=B402/B401-1</v>
      </c>
      <c r="E402" s="8">
        <f>VLOOKUP(A402,'[1]S&amp;P500_DAILY'!$A$8:$B$1768,2,0)</f>
        <v>2966.15</v>
      </c>
      <c r="F402" s="1">
        <f t="shared" si="26"/>
        <v>-1.3870792890882111E-3</v>
      </c>
      <c r="G402" s="1" t="str">
        <f t="shared" ca="1" si="27"/>
        <v>=E402/E401-1</v>
      </c>
    </row>
    <row r="403" spans="1:7">
      <c r="A403" s="14">
        <v>43753</v>
      </c>
      <c r="B403" s="11">
        <f>VLOOKUP(A403,[1]HD_price_daily!$A$8:$B$1768,2,0)</f>
        <v>235.62</v>
      </c>
      <c r="C403">
        <f t="shared" si="24"/>
        <v>6.1491160645656961E-3</v>
      </c>
      <c r="D403" s="1" t="str">
        <f t="shared" ca="1" si="25"/>
        <v>=B403/B402-1</v>
      </c>
      <c r="E403" s="8">
        <f>VLOOKUP(A403,'[1]S&amp;P500_DAILY'!$A$8:$B$1768,2,0)</f>
        <v>2995.68</v>
      </c>
      <c r="F403" s="1">
        <f t="shared" si="26"/>
        <v>9.9556664362894232E-3</v>
      </c>
      <c r="G403" s="1" t="str">
        <f t="shared" ca="1" si="27"/>
        <v>=E403/E402-1</v>
      </c>
    </row>
    <row r="404" spans="1:7">
      <c r="A404" s="14">
        <v>43754</v>
      </c>
      <c r="B404" s="11">
        <f>VLOOKUP(A404,[1]HD_price_daily!$A$8:$B$1768,2,0)</f>
        <v>235.9</v>
      </c>
      <c r="C404">
        <f t="shared" si="24"/>
        <v>1.1883541295305555E-3</v>
      </c>
      <c r="D404" s="1" t="str">
        <f t="shared" ca="1" si="25"/>
        <v>=B404/B403-1</v>
      </c>
      <c r="E404" s="8">
        <f>VLOOKUP(A404,'[1]S&amp;P500_DAILY'!$A$8:$B$1768,2,0)</f>
        <v>2989.69</v>
      </c>
      <c r="F404" s="1">
        <f t="shared" si="26"/>
        <v>-1.9995460129251796E-3</v>
      </c>
      <c r="G404" s="1" t="str">
        <f t="shared" ca="1" si="27"/>
        <v>=E404/E403-1</v>
      </c>
    </row>
    <row r="405" spans="1:7">
      <c r="A405" s="14">
        <v>43755</v>
      </c>
      <c r="B405" s="11">
        <f>VLOOKUP(A405,[1]HD_price_daily!$A$8:$B$1768,2,0)</f>
        <v>236.77</v>
      </c>
      <c r="C405">
        <f t="shared" si="24"/>
        <v>3.6880033912674026E-3</v>
      </c>
      <c r="D405" s="1" t="str">
        <f t="shared" ca="1" si="25"/>
        <v>=B405/B404-1</v>
      </c>
      <c r="E405" s="8">
        <f>VLOOKUP(A405,'[1]S&amp;P500_DAILY'!$A$8:$B$1768,2,0)</f>
        <v>2997.95</v>
      </c>
      <c r="F405" s="1">
        <f t="shared" si="26"/>
        <v>2.7628282530964832E-3</v>
      </c>
      <c r="G405" s="1" t="str">
        <f t="shared" ca="1" si="27"/>
        <v>=E405/E404-1</v>
      </c>
    </row>
    <row r="406" spans="1:7">
      <c r="A406" s="14">
        <v>43756</v>
      </c>
      <c r="B406" s="11">
        <f>VLOOKUP(A406,[1]HD_price_daily!$A$8:$B$1768,2,0)</f>
        <v>237.93</v>
      </c>
      <c r="C406">
        <f t="shared" si="24"/>
        <v>4.899269333108025E-3</v>
      </c>
      <c r="D406" s="1" t="str">
        <f t="shared" ca="1" si="25"/>
        <v>=B406/B405-1</v>
      </c>
      <c r="E406" s="8">
        <f>VLOOKUP(A406,'[1]S&amp;P500_DAILY'!$A$8:$B$1768,2,0)</f>
        <v>2986.2</v>
      </c>
      <c r="F406" s="1">
        <f t="shared" si="26"/>
        <v>-3.919344885671916E-3</v>
      </c>
      <c r="G406" s="1" t="str">
        <f t="shared" ca="1" si="27"/>
        <v>=E406/E405-1</v>
      </c>
    </row>
    <row r="407" spans="1:7">
      <c r="A407" s="14">
        <v>43759</v>
      </c>
      <c r="B407" s="11">
        <f>VLOOKUP(A407,[1]HD_price_daily!$A$8:$B$1768,2,0)</f>
        <v>236.7</v>
      </c>
      <c r="C407">
        <f t="shared" si="24"/>
        <v>-5.1695876938596674E-3</v>
      </c>
      <c r="D407" s="1" t="str">
        <f t="shared" ca="1" si="25"/>
        <v>=B407/B406-1</v>
      </c>
      <c r="E407" s="8">
        <f>VLOOKUP(A407,'[1]S&amp;P500_DAILY'!$A$8:$B$1768,2,0)</f>
        <v>3006.72</v>
      </c>
      <c r="F407" s="1">
        <f t="shared" si="26"/>
        <v>6.8716094032550412E-3</v>
      </c>
      <c r="G407" s="1" t="str">
        <f t="shared" ca="1" si="27"/>
        <v>=E407/E406-1</v>
      </c>
    </row>
    <row r="408" spans="1:7">
      <c r="A408" s="14">
        <v>43760</v>
      </c>
      <c r="B408" s="11">
        <f>VLOOKUP(A408,[1]HD_price_daily!$A$8:$B$1768,2,0)</f>
        <v>237.2</v>
      </c>
      <c r="C408">
        <f t="shared" si="24"/>
        <v>2.1123785382339832E-3</v>
      </c>
      <c r="D408" s="1" t="str">
        <f t="shared" ca="1" si="25"/>
        <v>=B408/B407-1</v>
      </c>
      <c r="E408" s="8">
        <f>VLOOKUP(A408,'[1]S&amp;P500_DAILY'!$A$8:$B$1768,2,0)</f>
        <v>2995.99</v>
      </c>
      <c r="F408" s="1">
        <f t="shared" si="26"/>
        <v>-3.5686728395061262E-3</v>
      </c>
      <c r="G408" s="1" t="str">
        <f t="shared" ca="1" si="27"/>
        <v>=E408/E407-1</v>
      </c>
    </row>
    <row r="409" spans="1:7">
      <c r="A409" s="14">
        <v>43761</v>
      </c>
      <c r="B409" s="11">
        <f>VLOOKUP(A409,[1]HD_price_daily!$A$8:$B$1768,2,0)</f>
        <v>234.67</v>
      </c>
      <c r="C409">
        <f t="shared" si="24"/>
        <v>-1.0666104553119782E-2</v>
      </c>
      <c r="D409" s="1" t="str">
        <f t="shared" ca="1" si="25"/>
        <v>=B409/B408-1</v>
      </c>
      <c r="E409" s="8">
        <f>VLOOKUP(A409,'[1]S&amp;P500_DAILY'!$A$8:$B$1768,2,0)</f>
        <v>3004.52</v>
      </c>
      <c r="F409" s="1">
        <f t="shared" si="26"/>
        <v>2.8471390091422411E-3</v>
      </c>
      <c r="G409" s="1" t="str">
        <f t="shared" ca="1" si="27"/>
        <v>=E409/E408-1</v>
      </c>
    </row>
    <row r="410" spans="1:7">
      <c r="A410" s="14">
        <v>43762</v>
      </c>
      <c r="B410" s="11">
        <f>VLOOKUP(A410,[1]HD_price_daily!$A$8:$B$1768,2,0)</f>
        <v>233.89</v>
      </c>
      <c r="C410">
        <f t="shared" si="24"/>
        <v>-3.3238164230622314E-3</v>
      </c>
      <c r="D410" s="1" t="str">
        <f t="shared" ca="1" si="25"/>
        <v>=B410/B409-1</v>
      </c>
      <c r="E410" s="8">
        <f>VLOOKUP(A410,'[1]S&amp;P500_DAILY'!$A$8:$B$1768,2,0)</f>
        <v>3010.29</v>
      </c>
      <c r="F410" s="1">
        <f t="shared" si="26"/>
        <v>1.920439870594981E-3</v>
      </c>
      <c r="G410" s="1" t="str">
        <f t="shared" ca="1" si="27"/>
        <v>=E410/E409-1</v>
      </c>
    </row>
    <row r="411" spans="1:7">
      <c r="A411" s="14">
        <v>43763</v>
      </c>
      <c r="B411" s="11">
        <f>VLOOKUP(A411,[1]HD_price_daily!$A$8:$B$1768,2,0)</f>
        <v>234.38</v>
      </c>
      <c r="C411">
        <f t="shared" si="24"/>
        <v>2.0950019239813766E-3</v>
      </c>
      <c r="D411" s="1" t="str">
        <f t="shared" ca="1" si="25"/>
        <v>=B411/B410-1</v>
      </c>
      <c r="E411" s="8">
        <f>VLOOKUP(A411,'[1]S&amp;P500_DAILY'!$A$8:$B$1768,2,0)</f>
        <v>3022.55</v>
      </c>
      <c r="F411" s="1">
        <f t="shared" si="26"/>
        <v>4.0726973148768053E-3</v>
      </c>
      <c r="G411" s="1" t="str">
        <f t="shared" ca="1" si="27"/>
        <v>=E411/E410-1</v>
      </c>
    </row>
    <row r="412" spans="1:7">
      <c r="A412" s="14">
        <v>43766</v>
      </c>
      <c r="B412" s="11">
        <f>VLOOKUP(A412,[1]HD_price_daily!$A$8:$B$1768,2,0)</f>
        <v>236.8</v>
      </c>
      <c r="C412">
        <f t="shared" si="24"/>
        <v>1.0325113064254765E-2</v>
      </c>
      <c r="D412" s="1" t="str">
        <f t="shared" ca="1" si="25"/>
        <v>=B412/B411-1</v>
      </c>
      <c r="E412" s="8">
        <f>VLOOKUP(A412,'[1]S&amp;P500_DAILY'!$A$8:$B$1768,2,0)</f>
        <v>3039.42</v>
      </c>
      <c r="F412" s="1">
        <f t="shared" si="26"/>
        <v>5.5813799606292402E-3</v>
      </c>
      <c r="G412" s="1" t="str">
        <f t="shared" ca="1" si="27"/>
        <v>=E412/E411-1</v>
      </c>
    </row>
    <row r="413" spans="1:7">
      <c r="A413" s="14">
        <v>43767</v>
      </c>
      <c r="B413" s="11">
        <f>VLOOKUP(A413,[1]HD_price_daily!$A$8:$B$1768,2,0)</f>
        <v>234.14</v>
      </c>
      <c r="C413">
        <f t="shared" si="24"/>
        <v>-1.1233108108108181E-2</v>
      </c>
      <c r="D413" s="1" t="str">
        <f t="shared" ca="1" si="25"/>
        <v>=B413/B412-1</v>
      </c>
      <c r="E413" s="8">
        <f>VLOOKUP(A413,'[1]S&amp;P500_DAILY'!$A$8:$B$1768,2,0)</f>
        <v>3036.89</v>
      </c>
      <c r="F413" s="1">
        <f t="shared" si="26"/>
        <v>-8.323956544341593E-4</v>
      </c>
      <c r="G413" s="1" t="str">
        <f t="shared" ca="1" si="27"/>
        <v>=E413/E412-1</v>
      </c>
    </row>
    <row r="414" spans="1:7">
      <c r="A414" s="14">
        <v>43768</v>
      </c>
      <c r="B414" s="11">
        <f>VLOOKUP(A414,[1]HD_price_daily!$A$8:$B$1768,2,0)</f>
        <v>236.24</v>
      </c>
      <c r="C414">
        <f t="shared" si="24"/>
        <v>8.9689929102247934E-3</v>
      </c>
      <c r="D414" s="1" t="str">
        <f t="shared" ca="1" si="25"/>
        <v>=B414/B413-1</v>
      </c>
      <c r="E414" s="8">
        <f>VLOOKUP(A414,'[1]S&amp;P500_DAILY'!$A$8:$B$1768,2,0)</f>
        <v>3046.77</v>
      </c>
      <c r="F414" s="1">
        <f t="shared" si="26"/>
        <v>3.2533282404039188E-3</v>
      </c>
      <c r="G414" s="1" t="str">
        <f t="shared" ca="1" si="27"/>
        <v>=E414/E413-1</v>
      </c>
    </row>
    <row r="415" spans="1:7">
      <c r="A415" s="14">
        <v>43769</v>
      </c>
      <c r="B415" s="11">
        <f>VLOOKUP(A415,[1]HD_price_daily!$A$8:$B$1768,2,0)</f>
        <v>234.58</v>
      </c>
      <c r="C415">
        <f t="shared" si="24"/>
        <v>-7.0267524551304028E-3</v>
      </c>
      <c r="D415" s="1" t="str">
        <f t="shared" ca="1" si="25"/>
        <v>=B415/B414-1</v>
      </c>
      <c r="E415" s="8">
        <f>VLOOKUP(A415,'[1]S&amp;P500_DAILY'!$A$8:$B$1768,2,0)</f>
        <v>3037.56</v>
      </c>
      <c r="F415" s="1">
        <f t="shared" si="26"/>
        <v>-3.0228734036372717E-3</v>
      </c>
      <c r="G415" s="1" t="str">
        <f t="shared" ca="1" si="27"/>
        <v>=E415/E414-1</v>
      </c>
    </row>
    <row r="416" spans="1:7">
      <c r="A416" s="14">
        <v>43770</v>
      </c>
      <c r="B416" s="11">
        <f>VLOOKUP(A416,[1]HD_price_daily!$A$8:$B$1768,2,0)</f>
        <v>237.34</v>
      </c>
      <c r="C416">
        <f t="shared" si="24"/>
        <v>1.1765708926592122E-2</v>
      </c>
      <c r="D416" s="1" t="str">
        <f t="shared" ca="1" si="25"/>
        <v>=B416/B415-1</v>
      </c>
      <c r="E416" s="8">
        <f>VLOOKUP(A416,'[1]S&amp;P500_DAILY'!$A$8:$B$1768,2,0)</f>
        <v>3066.91</v>
      </c>
      <c r="F416" s="1">
        <f t="shared" si="26"/>
        <v>9.6623605788856981E-3</v>
      </c>
      <c r="G416" s="1" t="str">
        <f t="shared" ca="1" si="27"/>
        <v>=E416/E415-1</v>
      </c>
    </row>
    <row r="417" spans="1:7">
      <c r="A417" s="14">
        <v>43773</v>
      </c>
      <c r="B417" s="11">
        <f>VLOOKUP(A417,[1]HD_price_daily!$A$8:$B$1768,2,0)</f>
        <v>234.92</v>
      </c>
      <c r="C417">
        <f t="shared" si="24"/>
        <v>-1.0196342799359659E-2</v>
      </c>
      <c r="D417" s="1" t="str">
        <f t="shared" ca="1" si="25"/>
        <v>=B417/B416-1</v>
      </c>
      <c r="E417" s="8">
        <f>VLOOKUP(A417,'[1]S&amp;P500_DAILY'!$A$8:$B$1768,2,0)</f>
        <v>3078.27</v>
      </c>
      <c r="F417" s="1">
        <f t="shared" si="26"/>
        <v>3.70405391746087E-3</v>
      </c>
      <c r="G417" s="1" t="str">
        <f t="shared" ca="1" si="27"/>
        <v>=E417/E416-1</v>
      </c>
    </row>
    <row r="418" spans="1:7">
      <c r="A418" s="14">
        <v>43774</v>
      </c>
      <c r="B418" s="11">
        <f>VLOOKUP(A418,[1]HD_price_daily!$A$8:$B$1768,2,0)</f>
        <v>232.2</v>
      </c>
      <c r="C418">
        <f t="shared" si="24"/>
        <v>-1.1578409671377465E-2</v>
      </c>
      <c r="D418" s="1" t="str">
        <f t="shared" ca="1" si="25"/>
        <v>=B418/B417-1</v>
      </c>
      <c r="E418" s="8">
        <f>VLOOKUP(A418,'[1]S&amp;P500_DAILY'!$A$8:$B$1768,2,0)</f>
        <v>3074.62</v>
      </c>
      <c r="F418" s="1">
        <f t="shared" si="26"/>
        <v>-1.1857309462782739E-3</v>
      </c>
      <c r="G418" s="1" t="str">
        <f t="shared" ca="1" si="27"/>
        <v>=E418/E417-1</v>
      </c>
    </row>
    <row r="419" spans="1:7">
      <c r="A419" s="14">
        <v>43775</v>
      </c>
      <c r="B419" s="11">
        <f>VLOOKUP(A419,[1]HD_price_daily!$A$8:$B$1768,2,0)</f>
        <v>234.01</v>
      </c>
      <c r="C419">
        <f t="shared" si="24"/>
        <v>7.7950043066321584E-3</v>
      </c>
      <c r="D419" s="1" t="str">
        <f t="shared" ca="1" si="25"/>
        <v>=B419/B418-1</v>
      </c>
      <c r="E419" s="8">
        <f>VLOOKUP(A419,'[1]S&amp;P500_DAILY'!$A$8:$B$1768,2,0)</f>
        <v>3076.78</v>
      </c>
      <c r="F419" s="1">
        <f t="shared" si="26"/>
        <v>7.0252584059171674E-4</v>
      </c>
      <c r="G419" s="1" t="str">
        <f t="shared" ca="1" si="27"/>
        <v>=E419/E418-1</v>
      </c>
    </row>
    <row r="420" spans="1:7">
      <c r="A420" s="14">
        <v>43776</v>
      </c>
      <c r="B420" s="11">
        <f>VLOOKUP(A420,[1]HD_price_daily!$A$8:$B$1768,2,0)</f>
        <v>232.94</v>
      </c>
      <c r="C420">
        <f t="shared" si="24"/>
        <v>-4.572454168625284E-3</v>
      </c>
      <c r="D420" s="1" t="str">
        <f t="shared" ca="1" si="25"/>
        <v>=B420/B419-1</v>
      </c>
      <c r="E420" s="8">
        <f>VLOOKUP(A420,'[1]S&amp;P500_DAILY'!$A$8:$B$1768,2,0)</f>
        <v>3085.18</v>
      </c>
      <c r="F420" s="1">
        <f t="shared" si="26"/>
        <v>2.7301269509030224E-3</v>
      </c>
      <c r="G420" s="1" t="str">
        <f t="shared" ca="1" si="27"/>
        <v>=E420/E419-1</v>
      </c>
    </row>
    <row r="421" spans="1:7">
      <c r="A421" s="14">
        <v>43777</v>
      </c>
      <c r="B421" s="11">
        <f>VLOOKUP(A421,[1]HD_price_daily!$A$8:$B$1768,2,0)</f>
        <v>232.84</v>
      </c>
      <c r="C421">
        <f t="shared" si="24"/>
        <v>-4.2929509744993322E-4</v>
      </c>
      <c r="D421" s="1" t="str">
        <f t="shared" ca="1" si="25"/>
        <v>=B421/B420-1</v>
      </c>
      <c r="E421" s="8">
        <f>VLOOKUP(A421,'[1]S&amp;P500_DAILY'!$A$8:$B$1768,2,0)</f>
        <v>3093.08</v>
      </c>
      <c r="F421" s="1">
        <f t="shared" si="26"/>
        <v>2.5606285532773221E-3</v>
      </c>
      <c r="G421" s="1" t="str">
        <f t="shared" ca="1" si="27"/>
        <v>=E421/E420-1</v>
      </c>
    </row>
    <row r="422" spans="1:7">
      <c r="A422" s="14">
        <v>43780</v>
      </c>
      <c r="B422" s="11">
        <f>VLOOKUP(A422,[1]HD_price_daily!$A$8:$B$1768,2,0)</f>
        <v>231.8</v>
      </c>
      <c r="C422">
        <f t="shared" si="24"/>
        <v>-4.466586497165359E-3</v>
      </c>
      <c r="D422" s="1" t="str">
        <f t="shared" ca="1" si="25"/>
        <v>=B422/B421-1</v>
      </c>
      <c r="E422" s="8">
        <f>VLOOKUP(A422,'[1]S&amp;P500_DAILY'!$A$8:$B$1768,2,0)</f>
        <v>3087.01</v>
      </c>
      <c r="F422" s="1">
        <f t="shared" si="26"/>
        <v>-1.9624452002533488E-3</v>
      </c>
      <c r="G422" s="1" t="str">
        <f t="shared" ca="1" si="27"/>
        <v>=E422/E421-1</v>
      </c>
    </row>
    <row r="423" spans="1:7">
      <c r="A423" s="14">
        <v>43781</v>
      </c>
      <c r="B423" s="11">
        <f>VLOOKUP(A423,[1]HD_price_daily!$A$8:$B$1768,2,0)</f>
        <v>233.12</v>
      </c>
      <c r="C423">
        <f t="shared" si="24"/>
        <v>5.6945642795513951E-3</v>
      </c>
      <c r="D423" s="1" t="str">
        <f t="shared" ca="1" si="25"/>
        <v>=B423/B422-1</v>
      </c>
      <c r="E423" s="8">
        <f>VLOOKUP(A423,'[1]S&amp;P500_DAILY'!$A$8:$B$1768,2,0)</f>
        <v>3091.84</v>
      </c>
      <c r="F423" s="1">
        <f t="shared" si="26"/>
        <v>1.5646207819215441E-3</v>
      </c>
      <c r="G423" s="1" t="str">
        <f t="shared" ca="1" si="27"/>
        <v>=E423/E422-1</v>
      </c>
    </row>
    <row r="424" spans="1:7">
      <c r="A424" s="14">
        <v>43782</v>
      </c>
      <c r="B424" s="11">
        <f>VLOOKUP(A424,[1]HD_price_daily!$A$8:$B$1768,2,0)</f>
        <v>234.8</v>
      </c>
      <c r="C424">
        <f t="shared" si="24"/>
        <v>7.2065888812629098E-3</v>
      </c>
      <c r="D424" s="1" t="str">
        <f t="shared" ca="1" si="25"/>
        <v>=B424/B423-1</v>
      </c>
      <c r="E424" s="8">
        <f>VLOOKUP(A424,'[1]S&amp;P500_DAILY'!$A$8:$B$1768,2,0)</f>
        <v>3094.04</v>
      </c>
      <c r="F424" s="1">
        <f t="shared" si="26"/>
        <v>7.1155040364301314E-4</v>
      </c>
      <c r="G424" s="1" t="str">
        <f t="shared" ca="1" si="27"/>
        <v>=E424/E423-1</v>
      </c>
    </row>
    <row r="425" spans="1:7">
      <c r="A425" s="14">
        <v>43783</v>
      </c>
      <c r="B425" s="11">
        <f>VLOOKUP(A425,[1]HD_price_daily!$A$8:$B$1768,2,0)</f>
        <v>236.55</v>
      </c>
      <c r="C425">
        <f t="shared" si="24"/>
        <v>7.4531516183986568E-3</v>
      </c>
      <c r="D425" s="1" t="str">
        <f t="shared" ca="1" si="25"/>
        <v>=B425/B424-1</v>
      </c>
      <c r="E425" s="8">
        <f>VLOOKUP(A425,'[1]S&amp;P500_DAILY'!$A$8:$B$1768,2,0)</f>
        <v>3096.63</v>
      </c>
      <c r="F425" s="1">
        <f t="shared" si="26"/>
        <v>8.3709325024883263E-4</v>
      </c>
      <c r="G425" s="1" t="str">
        <f t="shared" ca="1" si="27"/>
        <v>=E425/E424-1</v>
      </c>
    </row>
    <row r="426" spans="1:7">
      <c r="A426" s="14">
        <v>43784</v>
      </c>
      <c r="B426" s="11">
        <f>VLOOKUP(A426,[1]HD_price_daily!$A$8:$B$1768,2,0)</f>
        <v>237.29</v>
      </c>
      <c r="C426">
        <f t="shared" si="24"/>
        <v>3.1283026844217687E-3</v>
      </c>
      <c r="D426" s="1" t="str">
        <f t="shared" ca="1" si="25"/>
        <v>=B426/B425-1</v>
      </c>
      <c r="E426" s="8">
        <f>VLOOKUP(A426,'[1]S&amp;P500_DAILY'!$A$8:$B$1768,2,0)</f>
        <v>3120.46</v>
      </c>
      <c r="F426" s="1">
        <f t="shared" si="26"/>
        <v>7.6954624866387711E-3</v>
      </c>
      <c r="G426" s="1" t="str">
        <f t="shared" ca="1" si="27"/>
        <v>=E426/E425-1</v>
      </c>
    </row>
    <row r="427" spans="1:7">
      <c r="A427" s="14">
        <v>43787</v>
      </c>
      <c r="B427" s="11">
        <f>VLOOKUP(A427,[1]HD_price_daily!$A$8:$B$1768,2,0)</f>
        <v>238.85</v>
      </c>
      <c r="C427">
        <f t="shared" si="24"/>
        <v>6.5742340595895676E-3</v>
      </c>
      <c r="D427" s="1" t="str">
        <f t="shared" ca="1" si="25"/>
        <v>=B427/B426-1</v>
      </c>
      <c r="E427" s="8">
        <f>VLOOKUP(A427,'[1]S&amp;P500_DAILY'!$A$8:$B$1768,2,0)</f>
        <v>3122.03</v>
      </c>
      <c r="F427" s="1">
        <f t="shared" si="26"/>
        <v>5.0313094864229413E-4</v>
      </c>
      <c r="G427" s="1" t="str">
        <f t="shared" ca="1" si="27"/>
        <v>=E427/E426-1</v>
      </c>
    </row>
    <row r="428" spans="1:7">
      <c r="A428" s="14">
        <v>43788</v>
      </c>
      <c r="B428" s="11">
        <f>VLOOKUP(A428,[1]HD_price_daily!$A$8:$B$1768,2,0)</f>
        <v>225.86</v>
      </c>
      <c r="C428">
        <f t="shared" si="24"/>
        <v>-5.4385597655432161E-2</v>
      </c>
      <c r="D428" s="1" t="str">
        <f t="shared" ca="1" si="25"/>
        <v>=B428/B427-1</v>
      </c>
      <c r="E428" s="8">
        <f>VLOOKUP(A428,'[1]S&amp;P500_DAILY'!$A$8:$B$1768,2,0)</f>
        <v>3120.18</v>
      </c>
      <c r="F428" s="1">
        <f t="shared" si="26"/>
        <v>-5.9256317203881803E-4</v>
      </c>
      <c r="G428" s="1" t="str">
        <f t="shared" ca="1" si="27"/>
        <v>=E428/E427-1</v>
      </c>
    </row>
    <row r="429" spans="1:7">
      <c r="A429" s="14">
        <v>43789</v>
      </c>
      <c r="B429" s="11">
        <f>VLOOKUP(A429,[1]HD_price_daily!$A$8:$B$1768,2,0)</f>
        <v>220.9</v>
      </c>
      <c r="C429">
        <f t="shared" si="24"/>
        <v>-2.1960506508456601E-2</v>
      </c>
      <c r="D429" s="1" t="str">
        <f t="shared" ca="1" si="25"/>
        <v>=B429/B428-1</v>
      </c>
      <c r="E429" s="8">
        <f>VLOOKUP(A429,'[1]S&amp;P500_DAILY'!$A$8:$B$1768,2,0)</f>
        <v>3108.46</v>
      </c>
      <c r="F429" s="1">
        <f t="shared" si="26"/>
        <v>-3.7561935529359936E-3</v>
      </c>
      <c r="G429" s="1" t="str">
        <f t="shared" ca="1" si="27"/>
        <v>=E429/E428-1</v>
      </c>
    </row>
    <row r="430" spans="1:7">
      <c r="A430" s="14">
        <v>43790</v>
      </c>
      <c r="B430" s="11">
        <f>VLOOKUP(A430,[1]HD_price_daily!$A$8:$B$1768,2,0)</f>
        <v>218.54</v>
      </c>
      <c r="C430">
        <f t="shared" si="24"/>
        <v>-1.0683567224988755E-2</v>
      </c>
      <c r="D430" s="1" t="str">
        <f t="shared" ca="1" si="25"/>
        <v>=B430/B429-1</v>
      </c>
      <c r="E430" s="8">
        <f>VLOOKUP(A430,'[1]S&amp;P500_DAILY'!$A$8:$B$1768,2,0)</f>
        <v>3103.54</v>
      </c>
      <c r="F430" s="1">
        <f t="shared" si="26"/>
        <v>-1.5827773238195064E-3</v>
      </c>
      <c r="G430" s="1" t="str">
        <f t="shared" ca="1" si="27"/>
        <v>=E430/E429-1</v>
      </c>
    </row>
    <row r="431" spans="1:7">
      <c r="A431" s="14">
        <v>43791</v>
      </c>
      <c r="B431" s="11">
        <f>VLOOKUP(A431,[1]HD_price_daily!$A$8:$B$1768,2,0)</f>
        <v>218.03</v>
      </c>
      <c r="C431">
        <f t="shared" si="24"/>
        <v>-2.333668893566343E-3</v>
      </c>
      <c r="D431" s="1" t="str">
        <f t="shared" ca="1" si="25"/>
        <v>=B431/B430-1</v>
      </c>
      <c r="E431" s="8">
        <f>VLOOKUP(A431,'[1]S&amp;P500_DAILY'!$A$8:$B$1768,2,0)</f>
        <v>3110.29</v>
      </c>
      <c r="F431" s="1">
        <f t="shared" si="26"/>
        <v>2.1749357185665286E-3</v>
      </c>
      <c r="G431" s="1" t="str">
        <f t="shared" ca="1" si="27"/>
        <v>=E431/E430-1</v>
      </c>
    </row>
    <row r="432" spans="1:7">
      <c r="A432" s="14">
        <v>43794</v>
      </c>
      <c r="B432" s="11">
        <f>VLOOKUP(A432,[1]HD_price_daily!$A$8:$B$1768,2,0)</f>
        <v>218.4</v>
      </c>
      <c r="C432">
        <f t="shared" si="24"/>
        <v>1.6970141723615662E-3</v>
      </c>
      <c r="D432" s="1" t="str">
        <f t="shared" ca="1" si="25"/>
        <v>=B432/B431-1</v>
      </c>
      <c r="E432" s="8">
        <f>VLOOKUP(A432,'[1]S&amp;P500_DAILY'!$A$8:$B$1768,2,0)</f>
        <v>3133.64</v>
      </c>
      <c r="F432" s="1">
        <f t="shared" si="26"/>
        <v>7.5073385439943241E-3</v>
      </c>
      <c r="G432" s="1" t="str">
        <f t="shared" ca="1" si="27"/>
        <v>=E432/E431-1</v>
      </c>
    </row>
    <row r="433" spans="1:7">
      <c r="A433" s="14">
        <v>43795</v>
      </c>
      <c r="B433" s="11">
        <f>VLOOKUP(A433,[1]HD_price_daily!$A$8:$B$1768,2,0)</f>
        <v>220.76</v>
      </c>
      <c r="C433">
        <f t="shared" si="24"/>
        <v>1.0805860805860767E-2</v>
      </c>
      <c r="D433" s="1" t="str">
        <f t="shared" ca="1" si="25"/>
        <v>=B433/B432-1</v>
      </c>
      <c r="E433" s="8">
        <f>VLOOKUP(A433,'[1]S&amp;P500_DAILY'!$A$8:$B$1768,2,0)</f>
        <v>3140.52</v>
      </c>
      <c r="F433" s="1">
        <f t="shared" si="26"/>
        <v>2.1955297992111156E-3</v>
      </c>
      <c r="G433" s="1" t="str">
        <f t="shared" ca="1" si="27"/>
        <v>=E433/E432-1</v>
      </c>
    </row>
    <row r="434" spans="1:7">
      <c r="A434" s="14">
        <v>43796</v>
      </c>
      <c r="B434" s="11">
        <f>VLOOKUP(A434,[1]HD_price_daily!$A$8:$B$1768,2,0)</f>
        <v>223</v>
      </c>
      <c r="C434">
        <f t="shared" si="24"/>
        <v>1.014676571842732E-2</v>
      </c>
      <c r="D434" s="1" t="str">
        <f t="shared" ca="1" si="25"/>
        <v>=B434/B433-1</v>
      </c>
      <c r="E434" s="8">
        <f>VLOOKUP(A434,'[1]S&amp;P500_DAILY'!$A$8:$B$1768,2,0)</f>
        <v>3153.63</v>
      </c>
      <c r="F434" s="1">
        <f t="shared" si="26"/>
        <v>4.1744679225097503E-3</v>
      </c>
      <c r="G434" s="1" t="str">
        <f t="shared" ca="1" si="27"/>
        <v>=E434/E433-1</v>
      </c>
    </row>
    <row r="435" spans="1:7">
      <c r="A435" s="14">
        <v>43798</v>
      </c>
      <c r="B435" s="11">
        <f>VLOOKUP(A435,[1]HD_price_daily!$A$8:$B$1768,2,0)</f>
        <v>220.51</v>
      </c>
      <c r="C435">
        <f t="shared" si="24"/>
        <v>-1.1165919282511205E-2</v>
      </c>
      <c r="D435" s="1" t="str">
        <f t="shared" ca="1" si="25"/>
        <v>=B435/B434-1</v>
      </c>
      <c r="E435" s="8">
        <f>VLOOKUP(A435,'[1]S&amp;P500_DAILY'!$A$8:$B$1768,2,0)</f>
        <v>3140.98</v>
      </c>
      <c r="F435" s="1">
        <f t="shared" si="26"/>
        <v>-4.0112505271703291E-3</v>
      </c>
      <c r="G435" s="1" t="str">
        <f t="shared" ca="1" si="27"/>
        <v>=E435/E434-1</v>
      </c>
    </row>
    <row r="436" spans="1:7">
      <c r="A436" s="14">
        <v>43801</v>
      </c>
      <c r="B436" s="11">
        <f>VLOOKUP(A436,[1]HD_price_daily!$A$8:$B$1768,2,0)</f>
        <v>217.62</v>
      </c>
      <c r="C436">
        <f t="shared" si="24"/>
        <v>-1.3105981588136584E-2</v>
      </c>
      <c r="D436" s="1" t="str">
        <f t="shared" ca="1" si="25"/>
        <v>=B436/B435-1</v>
      </c>
      <c r="E436" s="8">
        <f>VLOOKUP(A436,'[1]S&amp;P500_DAILY'!$A$8:$B$1768,2,0)</f>
        <v>3113.87</v>
      </c>
      <c r="F436" s="1">
        <f t="shared" si="26"/>
        <v>-8.6310641901572449E-3</v>
      </c>
      <c r="G436" s="1" t="str">
        <f t="shared" ca="1" si="27"/>
        <v>=E436/E435-1</v>
      </c>
    </row>
    <row r="437" spans="1:7">
      <c r="A437" s="14">
        <v>43802</v>
      </c>
      <c r="B437" s="11">
        <f>VLOOKUP(A437,[1]HD_price_daily!$A$8:$B$1768,2,0)</f>
        <v>214</v>
      </c>
      <c r="C437">
        <f t="shared" si="24"/>
        <v>-1.6634500505468219E-2</v>
      </c>
      <c r="D437" s="1" t="str">
        <f t="shared" ca="1" si="25"/>
        <v>=B437/B436-1</v>
      </c>
      <c r="E437" s="8">
        <f>VLOOKUP(A437,'[1]S&amp;P500_DAILY'!$A$8:$B$1768,2,0)</f>
        <v>3093.2</v>
      </c>
      <c r="F437" s="1">
        <f t="shared" si="26"/>
        <v>-6.6380420505672832E-3</v>
      </c>
      <c r="G437" s="1" t="str">
        <f t="shared" ca="1" si="27"/>
        <v>=E437/E436-1</v>
      </c>
    </row>
    <row r="438" spans="1:7">
      <c r="A438" s="14">
        <v>43803</v>
      </c>
      <c r="B438" s="11">
        <f>VLOOKUP(A438,[1]HD_price_daily!$A$8:$B$1768,2,0)</f>
        <v>214.1</v>
      </c>
      <c r="C438">
        <f t="shared" si="24"/>
        <v>4.672897196260628E-4</v>
      </c>
      <c r="D438" s="1" t="str">
        <f t="shared" ca="1" si="25"/>
        <v>=B438/B437-1</v>
      </c>
      <c r="E438" s="8">
        <f>VLOOKUP(A438,'[1]S&amp;P500_DAILY'!$A$8:$B$1768,2,0)</f>
        <v>3112.76</v>
      </c>
      <c r="F438" s="1">
        <f t="shared" si="26"/>
        <v>6.323548428811776E-3</v>
      </c>
      <c r="G438" s="1" t="str">
        <f t="shared" ca="1" si="27"/>
        <v>=E438/E437-1</v>
      </c>
    </row>
    <row r="439" spans="1:7">
      <c r="A439" s="14">
        <v>43804</v>
      </c>
      <c r="B439" s="11">
        <f>VLOOKUP(A439,[1]HD_price_daily!$A$8:$B$1768,2,0)</f>
        <v>213</v>
      </c>
      <c r="C439">
        <f t="shared" si="24"/>
        <v>-5.1377860812703569E-3</v>
      </c>
      <c r="D439" s="1" t="str">
        <f t="shared" ca="1" si="25"/>
        <v>=B439/B438-1</v>
      </c>
      <c r="E439" s="8">
        <f>VLOOKUP(A439,'[1]S&amp;P500_DAILY'!$A$8:$B$1768,2,0)</f>
        <v>3117.43</v>
      </c>
      <c r="F439" s="1">
        <f t="shared" si="26"/>
        <v>1.500276282141666E-3</v>
      </c>
      <c r="G439" s="1" t="str">
        <f t="shared" ca="1" si="27"/>
        <v>=E439/E438-1</v>
      </c>
    </row>
    <row r="440" spans="1:7">
      <c r="A440" s="14">
        <v>43805</v>
      </c>
      <c r="B440" s="11">
        <f>VLOOKUP(A440,[1]HD_price_daily!$A$8:$B$1768,2,0)</f>
        <v>214.28</v>
      </c>
      <c r="C440">
        <f t="shared" si="24"/>
        <v>6.0093896713615536E-3</v>
      </c>
      <c r="D440" s="1" t="str">
        <f t="shared" ca="1" si="25"/>
        <v>=B440/B439-1</v>
      </c>
      <c r="E440" s="8">
        <f>VLOOKUP(A440,'[1]S&amp;P500_DAILY'!$A$8:$B$1768,2,0)</f>
        <v>3145.91</v>
      </c>
      <c r="F440" s="1">
        <f t="shared" si="26"/>
        <v>9.1357303933048417E-3</v>
      </c>
      <c r="G440" s="1" t="str">
        <f t="shared" ca="1" si="27"/>
        <v>=E440/E439-1</v>
      </c>
    </row>
    <row r="441" spans="1:7">
      <c r="A441" s="14">
        <v>43808</v>
      </c>
      <c r="B441" s="11">
        <f>VLOOKUP(A441,[1]HD_price_daily!$A$8:$B$1768,2,0)</f>
        <v>216.53</v>
      </c>
      <c r="C441">
        <f t="shared" si="24"/>
        <v>1.0500280007466944E-2</v>
      </c>
      <c r="D441" s="1" t="str">
        <f t="shared" ca="1" si="25"/>
        <v>=B441/B440-1</v>
      </c>
      <c r="E441" s="8">
        <f>VLOOKUP(A441,'[1]S&amp;P500_DAILY'!$A$8:$B$1768,2,0)</f>
        <v>3135.96</v>
      </c>
      <c r="F441" s="1">
        <f t="shared" si="26"/>
        <v>-3.1628368262283102E-3</v>
      </c>
      <c r="G441" s="1" t="str">
        <f t="shared" ca="1" si="27"/>
        <v>=E441/E440-1</v>
      </c>
    </row>
    <row r="442" spans="1:7">
      <c r="A442" s="14">
        <v>43809</v>
      </c>
      <c r="B442" s="11">
        <f>VLOOKUP(A442,[1]HD_price_daily!$A$8:$B$1768,2,0)</f>
        <v>215.9</v>
      </c>
      <c r="C442">
        <f t="shared" si="24"/>
        <v>-2.9095275481457739E-3</v>
      </c>
      <c r="D442" s="1" t="str">
        <f t="shared" ca="1" si="25"/>
        <v>=B442/B441-1</v>
      </c>
      <c r="E442" s="8">
        <f>VLOOKUP(A442,'[1]S&amp;P500_DAILY'!$A$8:$B$1768,2,0)</f>
        <v>3132.52</v>
      </c>
      <c r="F442" s="1">
        <f t="shared" si="26"/>
        <v>-1.0969527672547441E-3</v>
      </c>
      <c r="G442" s="1" t="str">
        <f t="shared" ca="1" si="27"/>
        <v>=E442/E441-1</v>
      </c>
    </row>
    <row r="443" spans="1:7">
      <c r="A443" s="14">
        <v>43810</v>
      </c>
      <c r="B443" s="11">
        <f>VLOOKUP(A443,[1]HD_price_daily!$A$8:$B$1768,2,0)</f>
        <v>212</v>
      </c>
      <c r="C443">
        <f t="shared" si="24"/>
        <v>-1.8063918480778152E-2</v>
      </c>
      <c r="D443" s="1" t="str">
        <f t="shared" ca="1" si="25"/>
        <v>=B443/B442-1</v>
      </c>
      <c r="E443" s="8">
        <f>VLOOKUP(A443,'[1]S&amp;P500_DAILY'!$A$8:$B$1768,2,0)</f>
        <v>3141.63</v>
      </c>
      <c r="F443" s="1">
        <f t="shared" si="26"/>
        <v>2.9082017034209873E-3</v>
      </c>
      <c r="G443" s="1" t="str">
        <f t="shared" ca="1" si="27"/>
        <v>=E443/E442-1</v>
      </c>
    </row>
    <row r="444" spans="1:7">
      <c r="A444" s="14">
        <v>43811</v>
      </c>
      <c r="B444" s="11">
        <f>VLOOKUP(A444,[1]HD_price_daily!$A$8:$B$1768,2,0)</f>
        <v>212.04</v>
      </c>
      <c r="C444">
        <f t="shared" si="24"/>
        <v>1.8867924528298552E-4</v>
      </c>
      <c r="D444" s="1" t="str">
        <f t="shared" ca="1" si="25"/>
        <v>=B444/B443-1</v>
      </c>
      <c r="E444" s="8">
        <f>VLOOKUP(A444,'[1]S&amp;P500_DAILY'!$A$8:$B$1768,2,0)</f>
        <v>3168.57</v>
      </c>
      <c r="F444" s="1">
        <f t="shared" si="26"/>
        <v>8.5751663945150547E-3</v>
      </c>
      <c r="G444" s="1" t="str">
        <f t="shared" ca="1" si="27"/>
        <v>=E444/E443-1</v>
      </c>
    </row>
    <row r="445" spans="1:7">
      <c r="A445" s="14">
        <v>43812</v>
      </c>
      <c r="B445" s="11">
        <f>VLOOKUP(A445,[1]HD_price_daily!$A$8:$B$1768,2,0)</f>
        <v>214.08</v>
      </c>
      <c r="C445">
        <f t="shared" si="24"/>
        <v>9.6208262591965799E-3</v>
      </c>
      <c r="D445" s="1" t="str">
        <f t="shared" ca="1" si="25"/>
        <v>=B445/B444-1</v>
      </c>
      <c r="E445" s="8">
        <f>VLOOKUP(A445,'[1]S&amp;P500_DAILY'!$A$8:$B$1768,2,0)</f>
        <v>3168.8</v>
      </c>
      <c r="F445" s="1">
        <f t="shared" si="26"/>
        <v>7.258794976916505E-5</v>
      </c>
      <c r="G445" s="1" t="str">
        <f t="shared" ca="1" si="27"/>
        <v>=E445/E444-1</v>
      </c>
    </row>
    <row r="446" spans="1:7">
      <c r="A446" s="14">
        <v>43815</v>
      </c>
      <c r="B446" s="11">
        <f>VLOOKUP(A446,[1]HD_price_daily!$A$8:$B$1768,2,0)</f>
        <v>215.53</v>
      </c>
      <c r="C446">
        <f t="shared" si="24"/>
        <v>6.7731689088190716E-3</v>
      </c>
      <c r="D446" s="1" t="str">
        <f t="shared" ca="1" si="25"/>
        <v>=B446/B445-1</v>
      </c>
      <c r="E446" s="8">
        <f>VLOOKUP(A446,'[1]S&amp;P500_DAILY'!$A$8:$B$1768,2,0)</f>
        <v>3191.45</v>
      </c>
      <c r="F446" s="1">
        <f t="shared" si="26"/>
        <v>7.1478162080280683E-3</v>
      </c>
      <c r="G446" s="1" t="str">
        <f t="shared" ca="1" si="27"/>
        <v>=E446/E445-1</v>
      </c>
    </row>
    <row r="447" spans="1:7">
      <c r="A447" s="14">
        <v>43816</v>
      </c>
      <c r="B447" s="11">
        <f>VLOOKUP(A447,[1]HD_price_daily!$A$8:$B$1768,2,0)</f>
        <v>217.72</v>
      </c>
      <c r="C447">
        <f t="shared" si="24"/>
        <v>1.0160998468890625E-2</v>
      </c>
      <c r="D447" s="1" t="str">
        <f t="shared" ca="1" si="25"/>
        <v>=B447/B446-1</v>
      </c>
      <c r="E447" s="8">
        <f>VLOOKUP(A447,'[1]S&amp;P500_DAILY'!$A$8:$B$1768,2,0)</f>
        <v>3192.52</v>
      </c>
      <c r="F447" s="1">
        <f t="shared" si="26"/>
        <v>3.3527080167328194E-4</v>
      </c>
      <c r="G447" s="1" t="str">
        <f t="shared" ca="1" si="27"/>
        <v>=E447/E446-1</v>
      </c>
    </row>
    <row r="448" spans="1:7">
      <c r="A448" s="14">
        <v>43817</v>
      </c>
      <c r="B448" s="11">
        <f>VLOOKUP(A448,[1]HD_price_daily!$A$8:$B$1768,2,0)</f>
        <v>218</v>
      </c>
      <c r="C448">
        <f t="shared" si="24"/>
        <v>1.2860554841080951E-3</v>
      </c>
      <c r="D448" s="1" t="str">
        <f t="shared" ca="1" si="25"/>
        <v>=B448/B447-1</v>
      </c>
      <c r="E448" s="8">
        <f>VLOOKUP(A448,'[1]S&amp;P500_DAILY'!$A$8:$B$1768,2,0)</f>
        <v>3191.14</v>
      </c>
      <c r="F448" s="1">
        <f t="shared" si="26"/>
        <v>-4.3226040870536497E-4</v>
      </c>
      <c r="G448" s="1" t="str">
        <f t="shared" ca="1" si="27"/>
        <v>=E448/E447-1</v>
      </c>
    </row>
    <row r="449" spans="1:7">
      <c r="A449" s="14">
        <v>43818</v>
      </c>
      <c r="B449" s="11">
        <f>VLOOKUP(A449,[1]HD_price_daily!$A$8:$B$1768,2,0)</f>
        <v>220.22</v>
      </c>
      <c r="C449">
        <f t="shared" si="24"/>
        <v>1.0183486238532158E-2</v>
      </c>
      <c r="D449" s="1" t="str">
        <f t="shared" ca="1" si="25"/>
        <v>=B449/B448-1</v>
      </c>
      <c r="E449" s="8">
        <f>VLOOKUP(A449,'[1]S&amp;P500_DAILY'!$A$8:$B$1768,2,0)</f>
        <v>3205.37</v>
      </c>
      <c r="F449" s="1">
        <f t="shared" si="26"/>
        <v>4.4592214694434418E-3</v>
      </c>
      <c r="G449" s="1" t="str">
        <f t="shared" ca="1" si="27"/>
        <v>=E449/E448-1</v>
      </c>
    </row>
    <row r="450" spans="1:7">
      <c r="A450" s="14">
        <v>43819</v>
      </c>
      <c r="B450" s="11">
        <f>VLOOKUP(A450,[1]HD_price_daily!$A$8:$B$1768,2,0)</f>
        <v>221.19</v>
      </c>
      <c r="C450">
        <f t="shared" si="24"/>
        <v>4.4046862228679373E-3</v>
      </c>
      <c r="D450" s="1" t="str">
        <f t="shared" ca="1" si="25"/>
        <v>=B450/B449-1</v>
      </c>
      <c r="E450" s="8">
        <f>VLOOKUP(A450,'[1]S&amp;P500_DAILY'!$A$8:$B$1768,2,0)</f>
        <v>3221.22</v>
      </c>
      <c r="F450" s="1">
        <f t="shared" si="26"/>
        <v>4.9448269622538454E-3</v>
      </c>
      <c r="G450" s="1" t="str">
        <f t="shared" ca="1" si="27"/>
        <v>=E450/E449-1</v>
      </c>
    </row>
    <row r="451" spans="1:7">
      <c r="A451" s="14">
        <v>43822</v>
      </c>
      <c r="B451" s="11">
        <f>VLOOKUP(A451,[1]HD_price_daily!$A$8:$B$1768,2,0)</f>
        <v>219.21</v>
      </c>
      <c r="C451">
        <f t="shared" si="24"/>
        <v>-8.9515800895157982E-3</v>
      </c>
      <c r="D451" s="1" t="str">
        <f t="shared" ca="1" si="25"/>
        <v>=B451/B450-1</v>
      </c>
      <c r="E451" s="8">
        <f>VLOOKUP(A451,'[1]S&amp;P500_DAILY'!$A$8:$B$1768,2,0)</f>
        <v>3224.01</v>
      </c>
      <c r="F451" s="1">
        <f t="shared" si="26"/>
        <v>8.6613146571812294E-4</v>
      </c>
      <c r="G451" s="1" t="str">
        <f t="shared" ca="1" si="27"/>
        <v>=E451/E450-1</v>
      </c>
    </row>
    <row r="452" spans="1:7">
      <c r="A452" s="14">
        <v>43823</v>
      </c>
      <c r="B452" s="11">
        <f>VLOOKUP(A452,[1]HD_price_daily!$A$8:$B$1768,2,0)</f>
        <v>220.67</v>
      </c>
      <c r="C452">
        <f t="shared" ref="C452:C515" si="28">B452/B451-1</f>
        <v>6.6602800967108244E-3</v>
      </c>
      <c r="D452" s="1" t="str">
        <f t="shared" ref="D452:D515" ca="1" si="29">_xlfn.FORMULATEXT(C452)</f>
        <v>=B452/B451-1</v>
      </c>
      <c r="E452" s="8">
        <f>VLOOKUP(A452,'[1]S&amp;P500_DAILY'!$A$8:$B$1768,2,0)</f>
        <v>3223.38</v>
      </c>
      <c r="F452" s="1">
        <f t="shared" ref="F452:F515" si="30">E452/E451-1</f>
        <v>-1.9540882317370389E-4</v>
      </c>
      <c r="G452" s="1" t="str">
        <f t="shared" ref="G452:G515" ca="1" si="31">_xlfn.FORMULATEXT(F452)</f>
        <v>=E452/E451-1</v>
      </c>
    </row>
    <row r="453" spans="1:7">
      <c r="A453" s="14">
        <v>43825</v>
      </c>
      <c r="B453" s="11">
        <f>VLOOKUP(A453,[1]HD_price_daily!$A$8:$B$1768,2,0)</f>
        <v>220.82</v>
      </c>
      <c r="C453">
        <f t="shared" si="28"/>
        <v>6.7974804005976885E-4</v>
      </c>
      <c r="D453" s="1" t="str">
        <f t="shared" ca="1" si="29"/>
        <v>=B453/B452-1</v>
      </c>
      <c r="E453" s="8">
        <f>VLOOKUP(A453,'[1]S&amp;P500_DAILY'!$A$8:$B$1768,2,0)</f>
        <v>3239.91</v>
      </c>
      <c r="F453" s="1">
        <f t="shared" si="30"/>
        <v>5.1281573999961694E-3</v>
      </c>
      <c r="G453" s="1" t="str">
        <f t="shared" ca="1" si="31"/>
        <v>=E453/E452-1</v>
      </c>
    </row>
    <row r="454" spans="1:7">
      <c r="A454" s="14">
        <v>43826</v>
      </c>
      <c r="B454" s="11">
        <f>VLOOKUP(A454,[1]HD_price_daily!$A$8:$B$1768,2,0)</f>
        <v>219.97</v>
      </c>
      <c r="C454">
        <f t="shared" si="28"/>
        <v>-3.8492890136763158E-3</v>
      </c>
      <c r="D454" s="1" t="str">
        <f t="shared" ca="1" si="29"/>
        <v>=B454/B453-1</v>
      </c>
      <c r="E454" s="8">
        <f>VLOOKUP(A454,'[1]S&amp;P500_DAILY'!$A$8:$B$1768,2,0)</f>
        <v>3240.02</v>
      </c>
      <c r="F454" s="1">
        <f t="shared" si="30"/>
        <v>3.3951560382883272E-5</v>
      </c>
      <c r="G454" s="1" t="str">
        <f t="shared" ca="1" si="31"/>
        <v>=E454/E453-1</v>
      </c>
    </row>
    <row r="455" spans="1:7">
      <c r="A455" s="14">
        <v>43829</v>
      </c>
      <c r="B455" s="11">
        <f>VLOOKUP(A455,[1]HD_price_daily!$A$8:$B$1768,2,0)</f>
        <v>217.31</v>
      </c>
      <c r="C455">
        <f t="shared" si="28"/>
        <v>-1.2092558076101323E-2</v>
      </c>
      <c r="D455" s="1" t="str">
        <f t="shared" ca="1" si="29"/>
        <v>=B455/B454-1</v>
      </c>
      <c r="E455" s="8">
        <f>VLOOKUP(A455,'[1]S&amp;P500_DAILY'!$A$8:$B$1768,2,0)</f>
        <v>3221.29</v>
      </c>
      <c r="F455" s="1">
        <f t="shared" si="30"/>
        <v>-5.7808285134042237E-3</v>
      </c>
      <c r="G455" s="1" t="str">
        <f t="shared" ca="1" si="31"/>
        <v>=E455/E454-1</v>
      </c>
    </row>
    <row r="456" spans="1:7">
      <c r="A456" s="14">
        <v>43830</v>
      </c>
      <c r="B456" s="11">
        <f>VLOOKUP(A456,[1]HD_price_daily!$A$8:$B$1768,2,0)</f>
        <v>218.38</v>
      </c>
      <c r="C456">
        <f t="shared" si="28"/>
        <v>4.9238415167272009E-3</v>
      </c>
      <c r="D456" s="1" t="str">
        <f t="shared" ca="1" si="29"/>
        <v>=B456/B455-1</v>
      </c>
      <c r="E456" s="8">
        <f>VLOOKUP(A456,'[1]S&amp;P500_DAILY'!$A$8:$B$1768,2,0)</f>
        <v>3230.78</v>
      </c>
      <c r="F456" s="1">
        <f t="shared" si="30"/>
        <v>2.9460247292234509E-3</v>
      </c>
      <c r="G456" s="1" t="str">
        <f t="shared" ca="1" si="31"/>
        <v>=E456/E455-1</v>
      </c>
    </row>
    <row r="457" spans="1:7">
      <c r="A457" s="14">
        <v>43832</v>
      </c>
      <c r="B457" s="11">
        <f>VLOOKUP(A457,[1]HD_price_daily!$A$8:$B$1768,2,0)</f>
        <v>219.66</v>
      </c>
      <c r="C457">
        <f t="shared" si="28"/>
        <v>5.8613426137925639E-3</v>
      </c>
      <c r="D457" s="1" t="str">
        <f t="shared" ca="1" si="29"/>
        <v>=B457/B456-1</v>
      </c>
      <c r="E457" s="8">
        <f>VLOOKUP(A457,'[1]S&amp;P500_DAILY'!$A$8:$B$1768,2,0)</f>
        <v>3257.85</v>
      </c>
      <c r="F457" s="1">
        <f t="shared" si="30"/>
        <v>8.3787815945375321E-3</v>
      </c>
      <c r="G457" s="1" t="str">
        <f t="shared" ca="1" si="31"/>
        <v>=E457/E456-1</v>
      </c>
    </row>
    <row r="458" spans="1:7">
      <c r="A458" s="14">
        <v>43833</v>
      </c>
      <c r="B458" s="11">
        <f>VLOOKUP(A458,[1]HD_price_daily!$A$8:$B$1768,2,0)</f>
        <v>218.93</v>
      </c>
      <c r="C458">
        <f t="shared" si="28"/>
        <v>-3.3233178548666142E-3</v>
      </c>
      <c r="D458" s="1" t="str">
        <f t="shared" ca="1" si="29"/>
        <v>=B458/B457-1</v>
      </c>
      <c r="E458" s="8">
        <f>VLOOKUP(A458,'[1]S&amp;P500_DAILY'!$A$8:$B$1768,2,0)</f>
        <v>3234.85</v>
      </c>
      <c r="F458" s="1">
        <f t="shared" si="30"/>
        <v>-7.059870773669763E-3</v>
      </c>
      <c r="G458" s="1" t="str">
        <f t="shared" ca="1" si="31"/>
        <v>=E458/E457-1</v>
      </c>
    </row>
    <row r="459" spans="1:7">
      <c r="A459" s="14">
        <v>43836</v>
      </c>
      <c r="B459" s="11">
        <f>VLOOKUP(A459,[1]HD_price_daily!$A$8:$B$1768,2,0)</f>
        <v>219.96</v>
      </c>
      <c r="C459">
        <f t="shared" si="28"/>
        <v>4.7047001324624915E-3</v>
      </c>
      <c r="D459" s="1" t="str">
        <f t="shared" ca="1" si="29"/>
        <v>=B459/B458-1</v>
      </c>
      <c r="E459" s="8">
        <f>VLOOKUP(A459,'[1]S&amp;P500_DAILY'!$A$8:$B$1768,2,0)</f>
        <v>3246.28</v>
      </c>
      <c r="F459" s="1">
        <f t="shared" si="30"/>
        <v>3.5333941295578875E-3</v>
      </c>
      <c r="G459" s="1" t="str">
        <f t="shared" ca="1" si="31"/>
        <v>=E459/E458-1</v>
      </c>
    </row>
    <row r="460" spans="1:7">
      <c r="A460" s="14">
        <v>43837</v>
      </c>
      <c r="B460" s="11">
        <f>VLOOKUP(A460,[1]HD_price_daily!$A$8:$B$1768,2,0)</f>
        <v>218.52</v>
      </c>
      <c r="C460">
        <f t="shared" si="28"/>
        <v>-6.5466448445171688E-3</v>
      </c>
      <c r="D460" s="1" t="str">
        <f t="shared" ca="1" si="29"/>
        <v>=B460/B459-1</v>
      </c>
      <c r="E460" s="8">
        <f>VLOOKUP(A460,'[1]S&amp;P500_DAILY'!$A$8:$B$1768,2,0)</f>
        <v>3237.18</v>
      </c>
      <c r="F460" s="1">
        <f t="shared" si="30"/>
        <v>-2.8032085956850583E-3</v>
      </c>
      <c r="G460" s="1" t="str">
        <f t="shared" ca="1" si="31"/>
        <v>=E460/E459-1</v>
      </c>
    </row>
    <row r="461" spans="1:7">
      <c r="A461" s="14">
        <v>43838</v>
      </c>
      <c r="B461" s="11">
        <f>VLOOKUP(A461,[1]HD_price_daily!$A$8:$B$1768,2,0)</f>
        <v>221.79</v>
      </c>
      <c r="C461">
        <f t="shared" si="28"/>
        <v>1.4964305326743421E-2</v>
      </c>
      <c r="D461" s="1" t="str">
        <f t="shared" ca="1" si="29"/>
        <v>=B461/B460-1</v>
      </c>
      <c r="E461" s="8">
        <f>VLOOKUP(A461,'[1]S&amp;P500_DAILY'!$A$8:$B$1768,2,0)</f>
        <v>3253.05</v>
      </c>
      <c r="F461" s="1">
        <f t="shared" si="30"/>
        <v>4.9024150649641385E-3</v>
      </c>
      <c r="G461" s="1" t="str">
        <f t="shared" ca="1" si="31"/>
        <v>=E461/E460-1</v>
      </c>
    </row>
    <row r="462" spans="1:7">
      <c r="A462" s="14">
        <v>43839</v>
      </c>
      <c r="B462" s="11">
        <f>VLOOKUP(A462,[1]HD_price_daily!$A$8:$B$1768,2,0)</f>
        <v>225.19</v>
      </c>
      <c r="C462">
        <f t="shared" si="28"/>
        <v>1.5329816493079074E-2</v>
      </c>
      <c r="D462" s="1" t="str">
        <f t="shared" ca="1" si="29"/>
        <v>=B462/B461-1</v>
      </c>
      <c r="E462" s="8">
        <f>VLOOKUP(A462,'[1]S&amp;P500_DAILY'!$A$8:$B$1768,2,0)</f>
        <v>3274.7</v>
      </c>
      <c r="F462" s="1">
        <f t="shared" si="30"/>
        <v>6.6552927252885308E-3</v>
      </c>
      <c r="G462" s="1" t="str">
        <f t="shared" ca="1" si="31"/>
        <v>=E462/E461-1</v>
      </c>
    </row>
    <row r="463" spans="1:7">
      <c r="A463" s="14">
        <v>43840</v>
      </c>
      <c r="B463" s="11">
        <f>VLOOKUP(A463,[1]HD_price_daily!$A$8:$B$1768,2,0)</f>
        <v>224.22</v>
      </c>
      <c r="C463">
        <f t="shared" si="28"/>
        <v>-4.3074736888849552E-3</v>
      </c>
      <c r="D463" s="1" t="str">
        <f t="shared" ca="1" si="29"/>
        <v>=B463/B462-1</v>
      </c>
      <c r="E463" s="8">
        <f>VLOOKUP(A463,'[1]S&amp;P500_DAILY'!$A$8:$B$1768,2,0)</f>
        <v>3265.35</v>
      </c>
      <c r="F463" s="1">
        <f t="shared" si="30"/>
        <v>-2.8552233792408233E-3</v>
      </c>
      <c r="G463" s="1" t="str">
        <f t="shared" ca="1" si="31"/>
        <v>=E463/E462-1</v>
      </c>
    </row>
    <row r="464" spans="1:7">
      <c r="A464" s="14">
        <v>43843</v>
      </c>
      <c r="B464" s="11">
        <f>VLOOKUP(A464,[1]HD_price_daily!$A$8:$B$1768,2,0)</f>
        <v>223.34</v>
      </c>
      <c r="C464">
        <f t="shared" si="28"/>
        <v>-3.9247167960039242E-3</v>
      </c>
      <c r="D464" s="1" t="str">
        <f t="shared" ca="1" si="29"/>
        <v>=B464/B463-1</v>
      </c>
      <c r="E464" s="8">
        <f>VLOOKUP(A464,'[1]S&amp;P500_DAILY'!$A$8:$B$1768,2,0)</f>
        <v>3288.13</v>
      </c>
      <c r="F464" s="1">
        <f t="shared" si="30"/>
        <v>6.9762812562206289E-3</v>
      </c>
      <c r="G464" s="1" t="str">
        <f t="shared" ca="1" si="31"/>
        <v>=E464/E463-1</v>
      </c>
    </row>
    <row r="465" spans="1:7">
      <c r="A465" s="14">
        <v>43844</v>
      </c>
      <c r="B465" s="11">
        <f>VLOOKUP(A465,[1]HD_price_daily!$A$8:$B$1768,2,0)</f>
        <v>222.81</v>
      </c>
      <c r="C465">
        <f t="shared" si="28"/>
        <v>-2.3730634906420356E-3</v>
      </c>
      <c r="D465" s="1" t="str">
        <f t="shared" ca="1" si="29"/>
        <v>=B465/B464-1</v>
      </c>
      <c r="E465" s="8">
        <f>VLOOKUP(A465,'[1]S&amp;P500_DAILY'!$A$8:$B$1768,2,0)</f>
        <v>3283.15</v>
      </c>
      <c r="F465" s="1">
        <f t="shared" si="30"/>
        <v>-1.5145386587512855E-3</v>
      </c>
      <c r="G465" s="1" t="str">
        <f t="shared" ca="1" si="31"/>
        <v>=E465/E464-1</v>
      </c>
    </row>
    <row r="466" spans="1:7">
      <c r="A466" s="14">
        <v>43845</v>
      </c>
      <c r="B466" s="11">
        <f>VLOOKUP(A466,[1]HD_price_daily!$A$8:$B$1768,2,0)</f>
        <v>224.59</v>
      </c>
      <c r="C466">
        <f t="shared" si="28"/>
        <v>7.9888694403302818E-3</v>
      </c>
      <c r="D466" s="1" t="str">
        <f t="shared" ca="1" si="29"/>
        <v>=B466/B465-1</v>
      </c>
      <c r="E466" s="8">
        <f>VLOOKUP(A466,'[1]S&amp;P500_DAILY'!$A$8:$B$1768,2,0)</f>
        <v>3289.29</v>
      </c>
      <c r="F466" s="1">
        <f t="shared" si="30"/>
        <v>1.870155186330269E-3</v>
      </c>
      <c r="G466" s="1" t="str">
        <f t="shared" ca="1" si="31"/>
        <v>=E466/E465-1</v>
      </c>
    </row>
    <row r="467" spans="1:7">
      <c r="A467" s="14">
        <v>43846</v>
      </c>
      <c r="B467" s="11">
        <f>VLOOKUP(A467,[1]HD_price_daily!$A$8:$B$1768,2,0)</f>
        <v>228.82</v>
      </c>
      <c r="C467">
        <f t="shared" si="28"/>
        <v>1.8834320317022035E-2</v>
      </c>
      <c r="D467" s="1" t="str">
        <f t="shared" ca="1" si="29"/>
        <v>=B467/B466-1</v>
      </c>
      <c r="E467" s="8">
        <f>VLOOKUP(A467,'[1]S&amp;P500_DAILY'!$A$8:$B$1768,2,0)</f>
        <v>3316.81</v>
      </c>
      <c r="F467" s="1">
        <f t="shared" si="30"/>
        <v>8.3665471879950104E-3</v>
      </c>
      <c r="G467" s="1" t="str">
        <f t="shared" ca="1" si="31"/>
        <v>=E467/E466-1</v>
      </c>
    </row>
    <row r="468" spans="1:7">
      <c r="A468" s="14">
        <v>43847</v>
      </c>
      <c r="B468" s="11">
        <f>VLOOKUP(A468,[1]HD_price_daily!$A$8:$B$1768,2,0)</f>
        <v>231.91</v>
      </c>
      <c r="C468">
        <f t="shared" si="28"/>
        <v>1.3504064330041032E-2</v>
      </c>
      <c r="D468" s="1" t="str">
        <f t="shared" ca="1" si="29"/>
        <v>=B468/B467-1</v>
      </c>
      <c r="E468" s="8">
        <f>VLOOKUP(A468,'[1]S&amp;P500_DAILY'!$A$8:$B$1768,2,0)</f>
        <v>3329.62</v>
      </c>
      <c r="F468" s="1">
        <f t="shared" si="30"/>
        <v>3.862144651035182E-3</v>
      </c>
      <c r="G468" s="1" t="str">
        <f t="shared" ca="1" si="31"/>
        <v>=E468/E467-1</v>
      </c>
    </row>
    <row r="469" spans="1:7">
      <c r="A469" s="14">
        <v>43851</v>
      </c>
      <c r="B469" s="11">
        <f>VLOOKUP(A469,[1]HD_price_daily!$A$8:$B$1768,2,0)</f>
        <v>232.95</v>
      </c>
      <c r="C469">
        <f t="shared" si="28"/>
        <v>4.4844982967531255E-3</v>
      </c>
      <c r="D469" s="1" t="str">
        <f t="shared" ca="1" si="29"/>
        <v>=B469/B468-1</v>
      </c>
      <c r="E469" s="8">
        <f>VLOOKUP(A469,'[1]S&amp;P500_DAILY'!$A$8:$B$1768,2,0)</f>
        <v>3320.79</v>
      </c>
      <c r="F469" s="1">
        <f t="shared" si="30"/>
        <v>-2.6519542770646609E-3</v>
      </c>
      <c r="G469" s="1" t="str">
        <f t="shared" ca="1" si="31"/>
        <v>=E469/E468-1</v>
      </c>
    </row>
    <row r="470" spans="1:7">
      <c r="A470" s="14">
        <v>43852</v>
      </c>
      <c r="B470" s="11">
        <f>VLOOKUP(A470,[1]HD_price_daily!$A$8:$B$1768,2,0)</f>
        <v>232.9</v>
      </c>
      <c r="C470">
        <f t="shared" si="28"/>
        <v>-2.1463833440649172E-4</v>
      </c>
      <c r="D470" s="1" t="str">
        <f t="shared" ca="1" si="29"/>
        <v>=B470/B469-1</v>
      </c>
      <c r="E470" s="8">
        <f>VLOOKUP(A470,'[1]S&amp;P500_DAILY'!$A$8:$B$1768,2,0)</f>
        <v>3321.75</v>
      </c>
      <c r="F470" s="1">
        <f t="shared" si="30"/>
        <v>2.8908783753256451E-4</v>
      </c>
      <c r="G470" s="1" t="str">
        <f t="shared" ca="1" si="31"/>
        <v>=E470/E469-1</v>
      </c>
    </row>
    <row r="471" spans="1:7">
      <c r="A471" s="14">
        <v>43853</v>
      </c>
      <c r="B471" s="11">
        <f>VLOOKUP(A471,[1]HD_price_daily!$A$8:$B$1768,2,0)</f>
        <v>233.65</v>
      </c>
      <c r="C471">
        <f t="shared" si="28"/>
        <v>3.220266208673328E-3</v>
      </c>
      <c r="D471" s="1" t="str">
        <f t="shared" ca="1" si="29"/>
        <v>=B471/B470-1</v>
      </c>
      <c r="E471" s="8">
        <f>VLOOKUP(A471,'[1]S&amp;P500_DAILY'!$A$8:$B$1768,2,0)</f>
        <v>3325.54</v>
      </c>
      <c r="F471" s="1">
        <f t="shared" si="30"/>
        <v>1.1409648528637462E-3</v>
      </c>
      <c r="G471" s="1" t="str">
        <f t="shared" ca="1" si="31"/>
        <v>=E471/E470-1</v>
      </c>
    </row>
    <row r="472" spans="1:7">
      <c r="A472" s="14">
        <v>43854</v>
      </c>
      <c r="B472" s="11">
        <f>VLOOKUP(A472,[1]HD_price_daily!$A$8:$B$1768,2,0)</f>
        <v>232</v>
      </c>
      <c r="C472">
        <f t="shared" si="28"/>
        <v>-7.0618446394179468E-3</v>
      </c>
      <c r="D472" s="1" t="str">
        <f t="shared" ca="1" si="29"/>
        <v>=B472/B471-1</v>
      </c>
      <c r="E472" s="8">
        <f>VLOOKUP(A472,'[1]S&amp;P500_DAILY'!$A$8:$B$1768,2,0)</f>
        <v>3295.47</v>
      </c>
      <c r="F472" s="1">
        <f t="shared" si="30"/>
        <v>-9.0421405245464381E-3</v>
      </c>
      <c r="G472" s="1" t="str">
        <f t="shared" ca="1" si="31"/>
        <v>=E472/E471-1</v>
      </c>
    </row>
    <row r="473" spans="1:7">
      <c r="A473" s="14">
        <v>43857</v>
      </c>
      <c r="B473" s="11">
        <f>VLOOKUP(A473,[1]HD_price_daily!$A$8:$B$1768,2,0)</f>
        <v>231.19</v>
      </c>
      <c r="C473">
        <f t="shared" si="28"/>
        <v>-3.4913793103448221E-3</v>
      </c>
      <c r="D473" s="1" t="str">
        <f t="shared" ca="1" si="29"/>
        <v>=B473/B472-1</v>
      </c>
      <c r="E473" s="8">
        <f>VLOOKUP(A473,'[1]S&amp;P500_DAILY'!$A$8:$B$1768,2,0)</f>
        <v>3243.63</v>
      </c>
      <c r="F473" s="1">
        <f t="shared" si="30"/>
        <v>-1.5730684849202037E-2</v>
      </c>
      <c r="G473" s="1" t="str">
        <f t="shared" ca="1" si="31"/>
        <v>=E473/E472-1</v>
      </c>
    </row>
    <row r="474" spans="1:7">
      <c r="A474" s="14">
        <v>43858</v>
      </c>
      <c r="B474" s="11">
        <f>VLOOKUP(A474,[1]HD_price_daily!$A$8:$B$1768,2,0)</f>
        <v>233.86</v>
      </c>
      <c r="C474">
        <f t="shared" si="28"/>
        <v>1.1548942428305731E-2</v>
      </c>
      <c r="D474" s="1" t="str">
        <f t="shared" ca="1" si="29"/>
        <v>=B474/B473-1</v>
      </c>
      <c r="E474" s="8">
        <f>VLOOKUP(A474,'[1]S&amp;P500_DAILY'!$A$8:$B$1768,2,0)</f>
        <v>3276.24</v>
      </c>
      <c r="F474" s="1">
        <f t="shared" si="30"/>
        <v>1.0053551114029613E-2</v>
      </c>
      <c r="G474" s="1" t="str">
        <f t="shared" ca="1" si="31"/>
        <v>=E474/E473-1</v>
      </c>
    </row>
    <row r="475" spans="1:7">
      <c r="A475" s="14">
        <v>43859</v>
      </c>
      <c r="B475" s="11">
        <f>VLOOKUP(A475,[1]HD_price_daily!$A$8:$B$1768,2,0)</f>
        <v>234.02</v>
      </c>
      <c r="C475">
        <f t="shared" si="28"/>
        <v>6.841700162489861E-4</v>
      </c>
      <c r="D475" s="1" t="str">
        <f t="shared" ca="1" si="29"/>
        <v>=B475/B474-1</v>
      </c>
      <c r="E475" s="8">
        <f>VLOOKUP(A475,'[1]S&amp;P500_DAILY'!$A$8:$B$1768,2,0)</f>
        <v>3273.4</v>
      </c>
      <c r="F475" s="1">
        <f t="shared" si="30"/>
        <v>-8.6684736160957954E-4</v>
      </c>
      <c r="G475" s="1" t="str">
        <f t="shared" ca="1" si="31"/>
        <v>=E475/E474-1</v>
      </c>
    </row>
    <row r="476" spans="1:7">
      <c r="A476" s="14">
        <v>43860</v>
      </c>
      <c r="B476" s="11">
        <f>VLOOKUP(A476,[1]HD_price_daily!$A$8:$B$1768,2,0)</f>
        <v>232.79</v>
      </c>
      <c r="C476">
        <f t="shared" si="28"/>
        <v>-5.2559610289719672E-3</v>
      </c>
      <c r="D476" s="1" t="str">
        <f t="shared" ca="1" si="29"/>
        <v>=B476/B475-1</v>
      </c>
      <c r="E476" s="8">
        <f>VLOOKUP(A476,'[1]S&amp;P500_DAILY'!$A$8:$B$1768,2,0)</f>
        <v>3283.66</v>
      </c>
      <c r="F476" s="1">
        <f t="shared" si="30"/>
        <v>3.1343557157694768E-3</v>
      </c>
      <c r="G476" s="1" t="str">
        <f t="shared" ca="1" si="31"/>
        <v>=E476/E475-1</v>
      </c>
    </row>
    <row r="477" spans="1:7">
      <c r="A477" s="14">
        <v>43861</v>
      </c>
      <c r="B477" s="11">
        <f>VLOOKUP(A477,[1]HD_price_daily!$A$8:$B$1768,2,0)</f>
        <v>228.1</v>
      </c>
      <c r="C477">
        <f t="shared" si="28"/>
        <v>-2.0146913527213317E-2</v>
      </c>
      <c r="D477" s="1" t="str">
        <f t="shared" ca="1" si="29"/>
        <v>=B477/B476-1</v>
      </c>
      <c r="E477" s="8">
        <f>VLOOKUP(A477,'[1]S&amp;P500_DAILY'!$A$8:$B$1768,2,0)</f>
        <v>3225.52</v>
      </c>
      <c r="F477" s="1">
        <f t="shared" si="30"/>
        <v>-1.7705852615678808E-2</v>
      </c>
      <c r="G477" s="1" t="str">
        <f t="shared" ca="1" si="31"/>
        <v>=E477/E476-1</v>
      </c>
    </row>
    <row r="478" spans="1:7">
      <c r="A478" s="14">
        <v>43864</v>
      </c>
      <c r="B478" s="11">
        <f>VLOOKUP(A478,[1]HD_price_daily!$A$8:$B$1768,2,0)</f>
        <v>231.54</v>
      </c>
      <c r="C478">
        <f t="shared" si="28"/>
        <v>1.5081104778605914E-2</v>
      </c>
      <c r="D478" s="1" t="str">
        <f t="shared" ca="1" si="29"/>
        <v>=B478/B477-1</v>
      </c>
      <c r="E478" s="8">
        <f>VLOOKUP(A478,'[1]S&amp;P500_DAILY'!$A$8:$B$1768,2,0)</f>
        <v>3248.92</v>
      </c>
      <c r="F478" s="1">
        <f t="shared" si="30"/>
        <v>7.2546442124061805E-3</v>
      </c>
      <c r="G478" s="1" t="str">
        <f t="shared" ca="1" si="31"/>
        <v>=E478/E477-1</v>
      </c>
    </row>
    <row r="479" spans="1:7">
      <c r="A479" s="14">
        <v>43865</v>
      </c>
      <c r="B479" s="11">
        <f>VLOOKUP(A479,[1]HD_price_daily!$A$8:$B$1768,2,0)</f>
        <v>235</v>
      </c>
      <c r="C479">
        <f t="shared" si="28"/>
        <v>1.4943422302841958E-2</v>
      </c>
      <c r="D479" s="1" t="str">
        <f t="shared" ca="1" si="29"/>
        <v>=B479/B478-1</v>
      </c>
      <c r="E479" s="8">
        <f>VLOOKUP(A479,'[1]S&amp;P500_DAILY'!$A$8:$B$1768,2,0)</f>
        <v>3297.59</v>
      </c>
      <c r="F479" s="1">
        <f t="shared" si="30"/>
        <v>1.4980362705145023E-2</v>
      </c>
      <c r="G479" s="1" t="str">
        <f t="shared" ca="1" si="31"/>
        <v>=E479/E478-1</v>
      </c>
    </row>
    <row r="480" spans="1:7">
      <c r="A480" s="14">
        <v>43866</v>
      </c>
      <c r="B480" s="11">
        <f>VLOOKUP(A480,[1]HD_price_daily!$A$8:$B$1768,2,0)</f>
        <v>238.11</v>
      </c>
      <c r="C480">
        <f t="shared" si="28"/>
        <v>1.3234042553191605E-2</v>
      </c>
      <c r="D480" s="1" t="str">
        <f t="shared" ca="1" si="29"/>
        <v>=B480/B479-1</v>
      </c>
      <c r="E480" s="8">
        <f>VLOOKUP(A480,'[1]S&amp;P500_DAILY'!$A$8:$B$1768,2,0)</f>
        <v>3334.69</v>
      </c>
      <c r="F480" s="1">
        <f t="shared" si="30"/>
        <v>1.1250640619361318E-2</v>
      </c>
      <c r="G480" s="1" t="str">
        <f t="shared" ca="1" si="31"/>
        <v>=E480/E479-1</v>
      </c>
    </row>
    <row r="481" spans="1:7">
      <c r="A481" s="14">
        <v>43867</v>
      </c>
      <c r="B481" s="11">
        <f>VLOOKUP(A481,[1]HD_price_daily!$A$8:$B$1768,2,0)</f>
        <v>238.84</v>
      </c>
      <c r="C481">
        <f t="shared" si="28"/>
        <v>3.0658099197848898E-3</v>
      </c>
      <c r="D481" s="1" t="str">
        <f t="shared" ca="1" si="29"/>
        <v>=B481/B480-1</v>
      </c>
      <c r="E481" s="8">
        <f>VLOOKUP(A481,'[1]S&amp;P500_DAILY'!$A$8:$B$1768,2,0)</f>
        <v>3345.78</v>
      </c>
      <c r="F481" s="1">
        <f t="shared" si="30"/>
        <v>3.3256464618900416E-3</v>
      </c>
      <c r="G481" s="1" t="str">
        <f t="shared" ca="1" si="31"/>
        <v>=E481/E480-1</v>
      </c>
    </row>
    <row r="482" spans="1:7">
      <c r="A482" s="14">
        <v>43868</v>
      </c>
      <c r="B482" s="11">
        <f>VLOOKUP(A482,[1]HD_price_daily!$A$8:$B$1768,2,0)</f>
        <v>237.3</v>
      </c>
      <c r="C482">
        <f t="shared" si="28"/>
        <v>-6.4478311840562297E-3</v>
      </c>
      <c r="D482" s="1" t="str">
        <f t="shared" ca="1" si="29"/>
        <v>=B482/B481-1</v>
      </c>
      <c r="E482" s="8">
        <f>VLOOKUP(A482,'[1]S&amp;P500_DAILY'!$A$8:$B$1768,2,0)</f>
        <v>3327.71</v>
      </c>
      <c r="F482" s="1">
        <f t="shared" si="30"/>
        <v>-5.4008332885008281E-3</v>
      </c>
      <c r="G482" s="1" t="str">
        <f t="shared" ca="1" si="31"/>
        <v>=E482/E481-1</v>
      </c>
    </row>
    <row r="483" spans="1:7">
      <c r="A483" s="14">
        <v>43871</v>
      </c>
      <c r="B483" s="11">
        <f>VLOOKUP(A483,[1]HD_price_daily!$A$8:$B$1768,2,0)</f>
        <v>240.61</v>
      </c>
      <c r="C483">
        <f t="shared" si="28"/>
        <v>1.3948588284871555E-2</v>
      </c>
      <c r="D483" s="1" t="str">
        <f t="shared" ca="1" si="29"/>
        <v>=B483/B482-1</v>
      </c>
      <c r="E483" s="8">
        <f>VLOOKUP(A483,'[1]S&amp;P500_DAILY'!$A$8:$B$1768,2,0)</f>
        <v>3352.09</v>
      </c>
      <c r="F483" s="1">
        <f t="shared" si="30"/>
        <v>7.3263595685921779E-3</v>
      </c>
      <c r="G483" s="1" t="str">
        <f t="shared" ca="1" si="31"/>
        <v>=E483/E482-1</v>
      </c>
    </row>
    <row r="484" spans="1:7">
      <c r="A484" s="14">
        <v>43872</v>
      </c>
      <c r="B484" s="11">
        <f>VLOOKUP(A484,[1]HD_price_daily!$A$8:$B$1768,2,0)</f>
        <v>241.64</v>
      </c>
      <c r="C484">
        <f t="shared" si="28"/>
        <v>4.2807863347325004E-3</v>
      </c>
      <c r="D484" s="1" t="str">
        <f t="shared" ca="1" si="29"/>
        <v>=B484/B483-1</v>
      </c>
      <c r="E484" s="8">
        <f>VLOOKUP(A484,'[1]S&amp;P500_DAILY'!$A$8:$B$1768,2,0)</f>
        <v>3357.75</v>
      </c>
      <c r="F484" s="1">
        <f t="shared" si="30"/>
        <v>1.6884988171557147E-3</v>
      </c>
      <c r="G484" s="1" t="str">
        <f t="shared" ca="1" si="31"/>
        <v>=E484/E483-1</v>
      </c>
    </row>
    <row r="485" spans="1:7">
      <c r="A485" s="14">
        <v>43873</v>
      </c>
      <c r="B485" s="11">
        <f>VLOOKUP(A485,[1]HD_price_daily!$A$8:$B$1768,2,0)</f>
        <v>241.59</v>
      </c>
      <c r="C485">
        <f t="shared" si="28"/>
        <v>-2.0691938420780431E-4</v>
      </c>
      <c r="D485" s="1" t="str">
        <f t="shared" ca="1" si="29"/>
        <v>=B485/B484-1</v>
      </c>
      <c r="E485" s="8">
        <f>VLOOKUP(A485,'[1]S&amp;P500_DAILY'!$A$8:$B$1768,2,0)</f>
        <v>3379.45</v>
      </c>
      <c r="F485" s="1">
        <f t="shared" si="30"/>
        <v>6.4626610081155444E-3</v>
      </c>
      <c r="G485" s="1" t="str">
        <f t="shared" ca="1" si="31"/>
        <v>=E485/E484-1</v>
      </c>
    </row>
    <row r="486" spans="1:7">
      <c r="A486" s="14">
        <v>43874</v>
      </c>
      <c r="B486" s="11">
        <f>VLOOKUP(A486,[1]HD_price_daily!$A$8:$B$1768,2,0)</f>
        <v>242.36</v>
      </c>
      <c r="C486">
        <f t="shared" si="28"/>
        <v>3.1872180139906892E-3</v>
      </c>
      <c r="D486" s="1" t="str">
        <f t="shared" ca="1" si="29"/>
        <v>=B486/B485-1</v>
      </c>
      <c r="E486" s="8">
        <f>VLOOKUP(A486,'[1]S&amp;P500_DAILY'!$A$8:$B$1768,2,0)</f>
        <v>3373.94</v>
      </c>
      <c r="F486" s="1">
        <f t="shared" si="30"/>
        <v>-1.6304428235363044E-3</v>
      </c>
      <c r="G486" s="1" t="str">
        <f t="shared" ca="1" si="31"/>
        <v>=E486/E485-1</v>
      </c>
    </row>
    <row r="487" spans="1:7">
      <c r="A487" s="14">
        <v>43875</v>
      </c>
      <c r="B487" s="11">
        <f>VLOOKUP(A487,[1]HD_price_daily!$A$8:$B$1768,2,0)</f>
        <v>245.03</v>
      </c>
      <c r="C487">
        <f t="shared" si="28"/>
        <v>1.1016669417395653E-2</v>
      </c>
      <c r="D487" s="1" t="str">
        <f t="shared" ca="1" si="29"/>
        <v>=B487/B486-1</v>
      </c>
      <c r="E487" s="8">
        <f>VLOOKUP(A487,'[1]S&amp;P500_DAILY'!$A$8:$B$1768,2,0)</f>
        <v>3380.16</v>
      </c>
      <c r="F487" s="1">
        <f t="shared" si="30"/>
        <v>1.8435419717006685E-3</v>
      </c>
      <c r="G487" s="1" t="str">
        <f t="shared" ca="1" si="31"/>
        <v>=E487/E486-1</v>
      </c>
    </row>
    <row r="488" spans="1:7">
      <c r="A488" s="14">
        <v>43879</v>
      </c>
      <c r="B488" s="11">
        <f>VLOOKUP(A488,[1]HD_price_daily!$A$8:$B$1768,2,0)</f>
        <v>243.94</v>
      </c>
      <c r="C488">
        <f t="shared" si="28"/>
        <v>-4.4484348855242661E-3</v>
      </c>
      <c r="D488" s="1" t="str">
        <f t="shared" ca="1" si="29"/>
        <v>=B488/B487-1</v>
      </c>
      <c r="E488" s="8">
        <f>VLOOKUP(A488,'[1]S&amp;P500_DAILY'!$A$8:$B$1768,2,0)</f>
        <v>3370.29</v>
      </c>
      <c r="F488" s="1">
        <f t="shared" si="30"/>
        <v>-2.9199801192842934E-3</v>
      </c>
      <c r="G488" s="1" t="str">
        <f t="shared" ca="1" si="31"/>
        <v>=E488/E487-1</v>
      </c>
    </row>
    <row r="489" spans="1:7">
      <c r="A489" s="14">
        <v>43880</v>
      </c>
      <c r="B489" s="11">
        <f>VLOOKUP(A489,[1]HD_price_daily!$A$8:$B$1768,2,0)</f>
        <v>243.64</v>
      </c>
      <c r="C489">
        <f t="shared" si="28"/>
        <v>-1.2298106091662708E-3</v>
      </c>
      <c r="D489" s="1" t="str">
        <f t="shared" ca="1" si="29"/>
        <v>=B489/B488-1</v>
      </c>
      <c r="E489" s="8">
        <f>VLOOKUP(A489,'[1]S&amp;P500_DAILY'!$A$8:$B$1768,2,0)</f>
        <v>3386.15</v>
      </c>
      <c r="F489" s="1">
        <f t="shared" si="30"/>
        <v>4.7058265015771372E-3</v>
      </c>
      <c r="G489" s="1" t="str">
        <f t="shared" ca="1" si="31"/>
        <v>=E489/E488-1</v>
      </c>
    </row>
    <row r="490" spans="1:7">
      <c r="A490" s="14">
        <v>43881</v>
      </c>
      <c r="B490" s="11">
        <f>VLOOKUP(A490,[1]HD_price_daily!$A$8:$B$1768,2,0)</f>
        <v>247.02</v>
      </c>
      <c r="C490">
        <f t="shared" si="28"/>
        <v>1.387292726974243E-2</v>
      </c>
      <c r="D490" s="1" t="str">
        <f t="shared" ca="1" si="29"/>
        <v>=B490/B489-1</v>
      </c>
      <c r="E490" s="8">
        <f>VLOOKUP(A490,'[1]S&amp;P500_DAILY'!$A$8:$B$1768,2,0)</f>
        <v>3373.23</v>
      </c>
      <c r="F490" s="1">
        <f t="shared" si="30"/>
        <v>-3.8155427255142094E-3</v>
      </c>
      <c r="G490" s="1" t="str">
        <f t="shared" ca="1" si="31"/>
        <v>=E490/E489-1</v>
      </c>
    </row>
    <row r="491" spans="1:7">
      <c r="A491" s="14">
        <v>43882</v>
      </c>
      <c r="B491" s="11">
        <f>VLOOKUP(A491,[1]HD_price_daily!$A$8:$B$1768,2,0)</f>
        <v>245.34</v>
      </c>
      <c r="C491">
        <f t="shared" si="28"/>
        <v>-6.8010687393733615E-3</v>
      </c>
      <c r="D491" s="1" t="str">
        <f t="shared" ca="1" si="29"/>
        <v>=B491/B490-1</v>
      </c>
      <c r="E491" s="8">
        <f>VLOOKUP(A491,'[1]S&amp;P500_DAILY'!$A$8:$B$1768,2,0)</f>
        <v>3337.75</v>
      </c>
      <c r="F491" s="1">
        <f t="shared" si="30"/>
        <v>-1.0518108756295885E-2</v>
      </c>
      <c r="G491" s="1" t="str">
        <f t="shared" ca="1" si="31"/>
        <v>=E491/E490-1</v>
      </c>
    </row>
    <row r="492" spans="1:7">
      <c r="A492" s="14">
        <v>43885</v>
      </c>
      <c r="B492" s="11">
        <f>VLOOKUP(A492,[1]HD_price_daily!$A$8:$B$1768,2,0)</f>
        <v>239.7</v>
      </c>
      <c r="C492">
        <f t="shared" si="28"/>
        <v>-2.298850574712652E-2</v>
      </c>
      <c r="D492" s="1" t="str">
        <f t="shared" ca="1" si="29"/>
        <v>=B492/B491-1</v>
      </c>
      <c r="E492" s="8">
        <f>VLOOKUP(A492,'[1]S&amp;P500_DAILY'!$A$8:$B$1768,2,0)</f>
        <v>3225.89</v>
      </c>
      <c r="F492" s="1">
        <f t="shared" si="30"/>
        <v>-3.3513594487304399E-2</v>
      </c>
      <c r="G492" s="1" t="str">
        <f t="shared" ca="1" si="31"/>
        <v>=E492/E491-1</v>
      </c>
    </row>
    <row r="493" spans="1:7">
      <c r="A493" s="14">
        <v>43886</v>
      </c>
      <c r="B493" s="11">
        <f>VLOOKUP(A493,[1]HD_price_daily!$A$8:$B$1768,2,0)</f>
        <v>237.38</v>
      </c>
      <c r="C493">
        <f t="shared" si="28"/>
        <v>-9.6787651230705318E-3</v>
      </c>
      <c r="D493" s="1" t="str">
        <f t="shared" ca="1" si="29"/>
        <v>=B493/B492-1</v>
      </c>
      <c r="E493" s="8">
        <f>VLOOKUP(A493,'[1]S&amp;P500_DAILY'!$A$8:$B$1768,2,0)</f>
        <v>3128.21</v>
      </c>
      <c r="F493" s="1">
        <f t="shared" si="30"/>
        <v>-3.0280015747592093E-2</v>
      </c>
      <c r="G493" s="1" t="str">
        <f t="shared" ca="1" si="31"/>
        <v>=E493/E492-1</v>
      </c>
    </row>
    <row r="494" spans="1:7">
      <c r="A494" s="14">
        <v>43887</v>
      </c>
      <c r="B494" s="11">
        <f>VLOOKUP(A494,[1]HD_price_daily!$A$8:$B$1768,2,0)</f>
        <v>235.28</v>
      </c>
      <c r="C494">
        <f t="shared" si="28"/>
        <v>-8.8465751116353353E-3</v>
      </c>
      <c r="D494" s="1" t="str">
        <f t="shared" ca="1" si="29"/>
        <v>=B494/B493-1</v>
      </c>
      <c r="E494" s="8">
        <f>VLOOKUP(A494,'[1]S&amp;P500_DAILY'!$A$8:$B$1768,2,0)</f>
        <v>3116.39</v>
      </c>
      <c r="F494" s="1">
        <f t="shared" si="30"/>
        <v>-3.7785187055856539E-3</v>
      </c>
      <c r="G494" s="1" t="str">
        <f t="shared" ca="1" si="31"/>
        <v>=E494/E493-1</v>
      </c>
    </row>
    <row r="495" spans="1:7">
      <c r="A495" s="14">
        <v>43888</v>
      </c>
      <c r="B495" s="11">
        <f>VLOOKUP(A495,[1]HD_price_daily!$A$8:$B$1768,2,0)</f>
        <v>224.73</v>
      </c>
      <c r="C495">
        <f t="shared" si="28"/>
        <v>-4.484019041142473E-2</v>
      </c>
      <c r="D495" s="1" t="str">
        <f t="shared" ca="1" si="29"/>
        <v>=B495/B494-1</v>
      </c>
      <c r="E495" s="8">
        <f>VLOOKUP(A495,'[1]S&amp;P500_DAILY'!$A$8:$B$1768,2,0)</f>
        <v>2978.76</v>
      </c>
      <c r="F495" s="1">
        <f t="shared" si="30"/>
        <v>-4.4163278665378725E-2</v>
      </c>
      <c r="G495" s="1" t="str">
        <f t="shared" ca="1" si="31"/>
        <v>=E495/E494-1</v>
      </c>
    </row>
    <row r="496" spans="1:7">
      <c r="A496" s="14">
        <v>43889</v>
      </c>
      <c r="B496" s="11">
        <f>VLOOKUP(A496,[1]HD_price_daily!$A$8:$B$1768,2,0)</f>
        <v>217.84</v>
      </c>
      <c r="C496">
        <f t="shared" si="28"/>
        <v>-3.0659013037867555E-2</v>
      </c>
      <c r="D496" s="1" t="str">
        <f t="shared" ca="1" si="29"/>
        <v>=B496/B495-1</v>
      </c>
      <c r="E496" s="8">
        <f>VLOOKUP(A496,'[1]S&amp;P500_DAILY'!$A$8:$B$1768,2,0)</f>
        <v>2954.22</v>
      </c>
      <c r="F496" s="1">
        <f t="shared" si="30"/>
        <v>-8.2383273576925875E-3</v>
      </c>
      <c r="G496" s="1" t="str">
        <f t="shared" ca="1" si="31"/>
        <v>=E496/E495-1</v>
      </c>
    </row>
    <row r="497" spans="1:7">
      <c r="A497" s="14">
        <v>43892</v>
      </c>
      <c r="B497" s="11">
        <f>VLOOKUP(A497,[1]HD_price_daily!$A$8:$B$1768,2,0)</f>
        <v>229.94</v>
      </c>
      <c r="C497">
        <f t="shared" si="28"/>
        <v>5.5545354388542023E-2</v>
      </c>
      <c r="D497" s="1" t="str">
        <f t="shared" ca="1" si="29"/>
        <v>=B497/B496-1</v>
      </c>
      <c r="E497" s="8">
        <f>VLOOKUP(A497,'[1]S&amp;P500_DAILY'!$A$8:$B$1768,2,0)</f>
        <v>3090.23</v>
      </c>
      <c r="F497" s="1">
        <f t="shared" si="30"/>
        <v>4.6039225243888371E-2</v>
      </c>
      <c r="G497" s="1" t="str">
        <f t="shared" ca="1" si="31"/>
        <v>=E497/E496-1</v>
      </c>
    </row>
    <row r="498" spans="1:7">
      <c r="A498" s="14">
        <v>43893</v>
      </c>
      <c r="B498" s="11">
        <f>VLOOKUP(A498,[1]HD_price_daily!$A$8:$B$1768,2,0)</f>
        <v>227.94</v>
      </c>
      <c r="C498">
        <f t="shared" si="28"/>
        <v>-8.6979211968339909E-3</v>
      </c>
      <c r="D498" s="1" t="str">
        <f t="shared" ca="1" si="29"/>
        <v>=B498/B497-1</v>
      </c>
      <c r="E498" s="8">
        <f>VLOOKUP(A498,'[1]S&amp;P500_DAILY'!$A$8:$B$1768,2,0)</f>
        <v>3003.37</v>
      </c>
      <c r="F498" s="1">
        <f t="shared" si="30"/>
        <v>-2.8107940185681968E-2</v>
      </c>
      <c r="G498" s="1" t="str">
        <f t="shared" ca="1" si="31"/>
        <v>=E498/E497-1</v>
      </c>
    </row>
    <row r="499" spans="1:7">
      <c r="A499" s="14">
        <v>43894</v>
      </c>
      <c r="B499" s="11">
        <f>VLOOKUP(A499,[1]HD_price_daily!$A$8:$B$1768,2,0)</f>
        <v>241.08</v>
      </c>
      <c r="C499">
        <f t="shared" si="28"/>
        <v>5.7646749144511844E-2</v>
      </c>
      <c r="D499" s="1" t="str">
        <f t="shared" ca="1" si="29"/>
        <v>=B499/B498-1</v>
      </c>
      <c r="E499" s="8">
        <f>VLOOKUP(A499,'[1]S&amp;P500_DAILY'!$A$8:$B$1768,2,0)</f>
        <v>3130.12</v>
      </c>
      <c r="F499" s="1">
        <f t="shared" si="30"/>
        <v>4.2202592421180185E-2</v>
      </c>
      <c r="G499" s="1" t="str">
        <f t="shared" ca="1" si="31"/>
        <v>=E499/E498-1</v>
      </c>
    </row>
    <row r="500" spans="1:7">
      <c r="A500" s="14">
        <v>43895</v>
      </c>
      <c r="B500" s="11">
        <f>VLOOKUP(A500,[1]HD_price_daily!$A$8:$B$1768,2,0)</f>
        <v>234.81</v>
      </c>
      <c r="C500">
        <f t="shared" si="28"/>
        <v>-2.6007964161274266E-2</v>
      </c>
      <c r="D500" s="1" t="str">
        <f t="shared" ca="1" si="29"/>
        <v>=B500/B499-1</v>
      </c>
      <c r="E500" s="8">
        <f>VLOOKUP(A500,'[1]S&amp;P500_DAILY'!$A$8:$B$1768,2,0)</f>
        <v>3023.94</v>
      </c>
      <c r="F500" s="1">
        <f t="shared" si="30"/>
        <v>-3.3922022158894838E-2</v>
      </c>
      <c r="G500" s="1" t="str">
        <f t="shared" ca="1" si="31"/>
        <v>=E500/E499-1</v>
      </c>
    </row>
    <row r="501" spans="1:7">
      <c r="A501" s="14">
        <v>43896</v>
      </c>
      <c r="B501" s="11">
        <f>VLOOKUP(A501,[1]HD_price_daily!$A$8:$B$1768,2,0)</f>
        <v>228.51</v>
      </c>
      <c r="C501">
        <f t="shared" si="28"/>
        <v>-2.6830203142966691E-2</v>
      </c>
      <c r="D501" s="1" t="str">
        <f t="shared" ca="1" si="29"/>
        <v>=B501/B500-1</v>
      </c>
      <c r="E501" s="8">
        <f>VLOOKUP(A501,'[1]S&amp;P500_DAILY'!$A$8:$B$1768,2,0)</f>
        <v>2972.37</v>
      </c>
      <c r="F501" s="1">
        <f t="shared" si="30"/>
        <v>-1.7053909799797706E-2</v>
      </c>
      <c r="G501" s="1" t="str">
        <f t="shared" ca="1" si="31"/>
        <v>=E501/E500-1</v>
      </c>
    </row>
    <row r="502" spans="1:7">
      <c r="A502" s="14">
        <v>43899</v>
      </c>
      <c r="B502" s="11">
        <f>VLOOKUP(A502,[1]HD_price_daily!$A$8:$B$1768,2,0)</f>
        <v>210.46</v>
      </c>
      <c r="C502">
        <f t="shared" si="28"/>
        <v>-7.8989978556737062E-2</v>
      </c>
      <c r="D502" s="1" t="str">
        <f t="shared" ca="1" si="29"/>
        <v>=B502/B501-1</v>
      </c>
      <c r="E502" s="8">
        <f>VLOOKUP(A502,'[1]S&amp;P500_DAILY'!$A$8:$B$1768,2,0)</f>
        <v>2746.56</v>
      </c>
      <c r="F502" s="1">
        <f t="shared" si="30"/>
        <v>-7.5969680759797709E-2</v>
      </c>
      <c r="G502" s="1" t="str">
        <f t="shared" ca="1" si="31"/>
        <v>=E502/E501-1</v>
      </c>
    </row>
    <row r="503" spans="1:7">
      <c r="A503" s="14">
        <v>43900</v>
      </c>
      <c r="B503" s="11">
        <f>VLOOKUP(A503,[1]HD_price_daily!$A$8:$B$1768,2,0)</f>
        <v>225.7</v>
      </c>
      <c r="C503">
        <f t="shared" si="28"/>
        <v>7.241281003516109E-2</v>
      </c>
      <c r="D503" s="1" t="str">
        <f t="shared" ca="1" si="29"/>
        <v>=B503/B502-1</v>
      </c>
      <c r="E503" s="8">
        <f>VLOOKUP(A503,'[1]S&amp;P500_DAILY'!$A$8:$B$1768,2,0)</f>
        <v>2882.23</v>
      </c>
      <c r="F503" s="1">
        <f t="shared" si="30"/>
        <v>4.9396335780030221E-2</v>
      </c>
      <c r="G503" s="1" t="str">
        <f t="shared" ca="1" si="31"/>
        <v>=E503/E502-1</v>
      </c>
    </row>
    <row r="504" spans="1:7">
      <c r="A504" s="14">
        <v>43901</v>
      </c>
      <c r="B504" s="11">
        <f>VLOOKUP(A504,[1]HD_price_daily!$A$8:$B$1768,2,0)</f>
        <v>212.89</v>
      </c>
      <c r="C504">
        <f t="shared" si="28"/>
        <v>-5.6756756756756732E-2</v>
      </c>
      <c r="D504" s="1" t="str">
        <f t="shared" ca="1" si="29"/>
        <v>=B504/B503-1</v>
      </c>
      <c r="E504" s="8">
        <f>VLOOKUP(A504,'[1]S&amp;P500_DAILY'!$A$8:$B$1768,2,0)</f>
        <v>2741.38</v>
      </c>
      <c r="F504" s="1">
        <f t="shared" si="30"/>
        <v>-4.8868410917935035E-2</v>
      </c>
      <c r="G504" s="1" t="str">
        <f t="shared" ca="1" si="31"/>
        <v>=E504/E503-1</v>
      </c>
    </row>
    <row r="505" spans="1:7">
      <c r="A505" s="14">
        <v>43902</v>
      </c>
      <c r="B505" s="11">
        <f>VLOOKUP(A505,[1]HD_price_daily!$A$8:$B$1768,2,0)</f>
        <v>190.59</v>
      </c>
      <c r="C505">
        <f t="shared" si="28"/>
        <v>-0.10474893137300945</v>
      </c>
      <c r="D505" s="1" t="str">
        <f t="shared" ca="1" si="29"/>
        <v>=B505/B504-1</v>
      </c>
      <c r="E505" s="8">
        <f>VLOOKUP(A505,'[1]S&amp;P500_DAILY'!$A$8:$B$1768,2,0)</f>
        <v>2480.64</v>
      </c>
      <c r="F505" s="1">
        <f t="shared" si="30"/>
        <v>-9.5112680474797484E-2</v>
      </c>
      <c r="G505" s="1" t="str">
        <f t="shared" ca="1" si="31"/>
        <v>=E505/E504-1</v>
      </c>
    </row>
    <row r="506" spans="1:7">
      <c r="A506" s="14">
        <v>43903</v>
      </c>
      <c r="B506" s="11">
        <f>VLOOKUP(A506,[1]HD_price_daily!$A$8:$B$1768,2,0)</f>
        <v>205.67</v>
      </c>
      <c r="C506">
        <f t="shared" si="28"/>
        <v>7.9122724172306924E-2</v>
      </c>
      <c r="D506" s="1" t="str">
        <f t="shared" ca="1" si="29"/>
        <v>=B506/B505-1</v>
      </c>
      <c r="E506" s="8">
        <f>VLOOKUP(A506,'[1]S&amp;P500_DAILY'!$A$8:$B$1768,2,0)</f>
        <v>2711.02</v>
      </c>
      <c r="F506" s="1">
        <f t="shared" si="30"/>
        <v>9.2871194530443901E-2</v>
      </c>
      <c r="G506" s="1" t="str">
        <f t="shared" ca="1" si="31"/>
        <v>=E506/E505-1</v>
      </c>
    </row>
    <row r="507" spans="1:7">
      <c r="A507" s="14">
        <v>43906</v>
      </c>
      <c r="B507" s="11">
        <f>VLOOKUP(A507,[1]HD_price_daily!$A$8:$B$1768,2,0)</f>
        <v>164.96</v>
      </c>
      <c r="C507">
        <f t="shared" si="28"/>
        <v>-0.19793844508192726</v>
      </c>
      <c r="D507" s="1" t="str">
        <f t="shared" ca="1" si="29"/>
        <v>=B507/B506-1</v>
      </c>
      <c r="E507" s="8">
        <f>VLOOKUP(A507,'[1]S&amp;P500_DAILY'!$A$8:$B$1768,2,0)</f>
        <v>2386.13</v>
      </c>
      <c r="F507" s="1">
        <f t="shared" si="30"/>
        <v>-0.11984050283657066</v>
      </c>
      <c r="G507" s="1" t="str">
        <f t="shared" ca="1" si="31"/>
        <v>=E507/E506-1</v>
      </c>
    </row>
    <row r="508" spans="1:7">
      <c r="A508" s="14">
        <v>43907</v>
      </c>
      <c r="B508" s="11">
        <f>VLOOKUP(A508,[1]HD_price_daily!$A$8:$B$1768,2,0)</f>
        <v>173.64</v>
      </c>
      <c r="C508">
        <f t="shared" si="28"/>
        <v>5.2618816682832081E-2</v>
      </c>
      <c r="D508" s="1" t="str">
        <f t="shared" ca="1" si="29"/>
        <v>=B508/B507-1</v>
      </c>
      <c r="E508" s="8">
        <f>VLOOKUP(A508,'[1]S&amp;P500_DAILY'!$A$8:$B$1768,2,0)</f>
        <v>2529.19</v>
      </c>
      <c r="F508" s="1">
        <f t="shared" si="30"/>
        <v>5.9954822243549089E-2</v>
      </c>
      <c r="G508" s="1" t="str">
        <f t="shared" ca="1" si="31"/>
        <v>=E508/E507-1</v>
      </c>
    </row>
    <row r="509" spans="1:7">
      <c r="A509" s="14">
        <v>43908</v>
      </c>
      <c r="B509" s="11">
        <f>VLOOKUP(A509,[1]HD_price_daily!$A$8:$B$1768,2,0)</f>
        <v>155.63</v>
      </c>
      <c r="C509">
        <f t="shared" si="28"/>
        <v>-0.10372034093526827</v>
      </c>
      <c r="D509" s="1" t="str">
        <f t="shared" ca="1" si="29"/>
        <v>=B509/B508-1</v>
      </c>
      <c r="E509" s="8">
        <f>VLOOKUP(A509,'[1]S&amp;P500_DAILY'!$A$8:$B$1768,2,0)</f>
        <v>2398.1</v>
      </c>
      <c r="F509" s="1">
        <f t="shared" si="30"/>
        <v>-5.1830823307066787E-2</v>
      </c>
      <c r="G509" s="1" t="str">
        <f t="shared" ca="1" si="31"/>
        <v>=E509/E508-1</v>
      </c>
    </row>
    <row r="510" spans="1:7">
      <c r="A510" s="14">
        <v>43909</v>
      </c>
      <c r="B510" s="11">
        <f>VLOOKUP(A510,[1]HD_price_daily!$A$8:$B$1768,2,0)</f>
        <v>161.13</v>
      </c>
      <c r="C510">
        <f t="shared" si="28"/>
        <v>3.5340230032770092E-2</v>
      </c>
      <c r="D510" s="1" t="str">
        <f t="shared" ca="1" si="29"/>
        <v>=B510/B509-1</v>
      </c>
      <c r="E510" s="8">
        <f>VLOOKUP(A510,'[1]S&amp;P500_DAILY'!$A$8:$B$1768,2,0)</f>
        <v>2409.39</v>
      </c>
      <c r="F510" s="1">
        <f t="shared" si="30"/>
        <v>4.707893749218206E-3</v>
      </c>
      <c r="G510" s="1" t="str">
        <f t="shared" ca="1" si="31"/>
        <v>=E510/E509-1</v>
      </c>
    </row>
    <row r="511" spans="1:7">
      <c r="A511" s="14">
        <v>43910</v>
      </c>
      <c r="B511" s="11">
        <f>VLOOKUP(A511,[1]HD_price_daily!$A$8:$B$1768,2,0)</f>
        <v>152.15</v>
      </c>
      <c r="C511">
        <f t="shared" si="28"/>
        <v>-5.5731397008626504E-2</v>
      </c>
      <c r="D511" s="1" t="str">
        <f t="shared" ca="1" si="29"/>
        <v>=B511/B510-1</v>
      </c>
      <c r="E511" s="8">
        <f>VLOOKUP(A511,'[1]S&amp;P500_DAILY'!$A$8:$B$1768,2,0)</f>
        <v>2304.92</v>
      </c>
      <c r="F511" s="1">
        <f t="shared" si="30"/>
        <v>-4.3359522534749395E-2</v>
      </c>
      <c r="G511" s="1" t="str">
        <f t="shared" ca="1" si="31"/>
        <v>=E511/E510-1</v>
      </c>
    </row>
    <row r="512" spans="1:7">
      <c r="A512" s="14">
        <v>43913</v>
      </c>
      <c r="B512" s="11">
        <f>VLOOKUP(A512,[1]HD_price_daily!$A$8:$B$1768,2,0)</f>
        <v>162.38999999999999</v>
      </c>
      <c r="C512">
        <f t="shared" si="28"/>
        <v>6.7302004600722887E-2</v>
      </c>
      <c r="D512" s="1" t="str">
        <f t="shared" ca="1" si="29"/>
        <v>=B512/B511-1</v>
      </c>
      <c r="E512" s="8">
        <f>VLOOKUP(A512,'[1]S&amp;P500_DAILY'!$A$8:$B$1768,2,0)</f>
        <v>2237.4</v>
      </c>
      <c r="F512" s="1">
        <f t="shared" si="30"/>
        <v>-2.9293858355170621E-2</v>
      </c>
      <c r="G512" s="1" t="str">
        <f t="shared" ca="1" si="31"/>
        <v>=E512/E511-1</v>
      </c>
    </row>
    <row r="513" spans="1:7">
      <c r="A513" s="14">
        <v>43914</v>
      </c>
      <c r="B513" s="11">
        <f>VLOOKUP(A513,[1]HD_price_daily!$A$8:$B$1768,2,0)</f>
        <v>184.72</v>
      </c>
      <c r="C513">
        <f t="shared" si="28"/>
        <v>0.13750846727015209</v>
      </c>
      <c r="D513" s="1" t="str">
        <f t="shared" ca="1" si="29"/>
        <v>=B513/B512-1</v>
      </c>
      <c r="E513" s="8">
        <f>VLOOKUP(A513,'[1]S&amp;P500_DAILY'!$A$8:$B$1768,2,0)</f>
        <v>2447.33</v>
      </c>
      <c r="F513" s="1">
        <f t="shared" si="30"/>
        <v>9.3827657101993367E-2</v>
      </c>
      <c r="G513" s="1" t="str">
        <f t="shared" ca="1" si="31"/>
        <v>=E513/E512-1</v>
      </c>
    </row>
    <row r="514" spans="1:7">
      <c r="A514" s="14">
        <v>43915</v>
      </c>
      <c r="B514" s="11">
        <f>VLOOKUP(A514,[1]HD_price_daily!$A$8:$B$1768,2,0)</f>
        <v>181.76</v>
      </c>
      <c r="C514">
        <f t="shared" si="28"/>
        <v>-1.6024252923343529E-2</v>
      </c>
      <c r="D514" s="1" t="str">
        <f t="shared" ca="1" si="29"/>
        <v>=B514/B513-1</v>
      </c>
      <c r="E514" s="8">
        <f>VLOOKUP(A514,'[1]S&amp;P500_DAILY'!$A$8:$B$1768,2,0)</f>
        <v>2475.56</v>
      </c>
      <c r="F514" s="1">
        <f t="shared" si="30"/>
        <v>1.1535019797084933E-2</v>
      </c>
      <c r="G514" s="1" t="str">
        <f t="shared" ca="1" si="31"/>
        <v>=E514/E513-1</v>
      </c>
    </row>
    <row r="515" spans="1:7">
      <c r="A515" s="14">
        <v>43916</v>
      </c>
      <c r="B515" s="11">
        <f>VLOOKUP(A515,[1]HD_price_daily!$A$8:$B$1768,2,0)</f>
        <v>195.21</v>
      </c>
      <c r="C515">
        <f t="shared" si="28"/>
        <v>7.3998679577464976E-2</v>
      </c>
      <c r="D515" s="1" t="str">
        <f t="shared" ca="1" si="29"/>
        <v>=B515/B514-1</v>
      </c>
      <c r="E515" s="8">
        <f>VLOOKUP(A515,'[1]S&amp;P500_DAILY'!$A$8:$B$1768,2,0)</f>
        <v>2630.07</v>
      </c>
      <c r="F515" s="1">
        <f t="shared" si="30"/>
        <v>6.2414160836336219E-2</v>
      </c>
      <c r="G515" s="1" t="str">
        <f t="shared" ca="1" si="31"/>
        <v>=E515/E514-1</v>
      </c>
    </row>
    <row r="516" spans="1:7">
      <c r="A516" s="14">
        <v>43917</v>
      </c>
      <c r="B516" s="11">
        <f>VLOOKUP(A516,[1]HD_price_daily!$A$8:$B$1768,2,0)</f>
        <v>190.55</v>
      </c>
      <c r="C516">
        <f t="shared" ref="C516:C579" si="32">B516/B515-1</f>
        <v>-2.3871727882792904E-2</v>
      </c>
      <c r="D516" s="1" t="str">
        <f t="shared" ref="D516:D579" ca="1" si="33">_xlfn.FORMULATEXT(C516)</f>
        <v>=B516/B515-1</v>
      </c>
      <c r="E516" s="8">
        <f>VLOOKUP(A516,'[1]S&amp;P500_DAILY'!$A$8:$B$1768,2,0)</f>
        <v>2541.4699999999998</v>
      </c>
      <c r="F516" s="1">
        <f t="shared" ref="F516:F579" si="34">E516/E515-1</f>
        <v>-3.36873163071707E-2</v>
      </c>
      <c r="G516" s="1" t="str">
        <f t="shared" ref="G516:G579" ca="1" si="35">_xlfn.FORMULATEXT(F516)</f>
        <v>=E516/E515-1</v>
      </c>
    </row>
    <row r="517" spans="1:7">
      <c r="A517" s="14">
        <v>43920</v>
      </c>
      <c r="B517" s="11">
        <f>VLOOKUP(A517,[1]HD_price_daily!$A$8:$B$1768,2,0)</f>
        <v>196.1</v>
      </c>
      <c r="C517">
        <f t="shared" si="32"/>
        <v>2.9126213592232997E-2</v>
      </c>
      <c r="D517" s="1" t="str">
        <f t="shared" ca="1" si="33"/>
        <v>=B517/B516-1</v>
      </c>
      <c r="E517" s="8">
        <f>VLOOKUP(A517,'[1]S&amp;P500_DAILY'!$A$8:$B$1768,2,0)</f>
        <v>2626.65</v>
      </c>
      <c r="F517" s="1">
        <f t="shared" si="34"/>
        <v>3.3516035994916482E-2</v>
      </c>
      <c r="G517" s="1" t="str">
        <f t="shared" ca="1" si="35"/>
        <v>=E517/E516-1</v>
      </c>
    </row>
    <row r="518" spans="1:7">
      <c r="A518" s="14">
        <v>43921</v>
      </c>
      <c r="B518" s="11">
        <f>VLOOKUP(A518,[1]HD_price_daily!$A$8:$B$1768,2,0)</f>
        <v>186.71</v>
      </c>
      <c r="C518">
        <f t="shared" si="32"/>
        <v>-4.7883732789393063E-2</v>
      </c>
      <c r="D518" s="1" t="str">
        <f t="shared" ca="1" si="33"/>
        <v>=B518/B517-1</v>
      </c>
      <c r="E518" s="8">
        <f>VLOOKUP(A518,'[1]S&amp;P500_DAILY'!$A$8:$B$1768,2,0)</f>
        <v>2584.59</v>
      </c>
      <c r="F518" s="1">
        <f t="shared" si="34"/>
        <v>-1.60127919593398E-2</v>
      </c>
      <c r="G518" s="1" t="str">
        <f t="shared" ca="1" si="35"/>
        <v>=E518/E517-1</v>
      </c>
    </row>
    <row r="519" spans="1:7">
      <c r="A519" s="14">
        <v>43922</v>
      </c>
      <c r="B519" s="11">
        <f>VLOOKUP(A519,[1]HD_price_daily!$A$8:$B$1768,2,0)</f>
        <v>178.63</v>
      </c>
      <c r="C519">
        <f t="shared" si="32"/>
        <v>-4.3275668148465618E-2</v>
      </c>
      <c r="D519" s="1" t="str">
        <f t="shared" ca="1" si="33"/>
        <v>=B519/B518-1</v>
      </c>
      <c r="E519" s="8">
        <f>VLOOKUP(A519,'[1]S&amp;P500_DAILY'!$A$8:$B$1768,2,0)</f>
        <v>2470.5</v>
      </c>
      <c r="F519" s="1">
        <f t="shared" si="34"/>
        <v>-4.4142397827121593E-2</v>
      </c>
      <c r="G519" s="1" t="str">
        <f t="shared" ca="1" si="35"/>
        <v>=E519/E518-1</v>
      </c>
    </row>
    <row r="520" spans="1:7">
      <c r="A520" s="14">
        <v>43923</v>
      </c>
      <c r="B520" s="11">
        <f>VLOOKUP(A520,[1]HD_price_daily!$A$8:$B$1768,2,0)</f>
        <v>181.31</v>
      </c>
      <c r="C520">
        <f t="shared" si="32"/>
        <v>1.5003078990091234E-2</v>
      </c>
      <c r="D520" s="1" t="str">
        <f t="shared" ca="1" si="33"/>
        <v>=B520/B519-1</v>
      </c>
      <c r="E520" s="8">
        <f>VLOOKUP(A520,'[1]S&amp;P500_DAILY'!$A$8:$B$1768,2,0)</f>
        <v>2526.9</v>
      </c>
      <c r="F520" s="1">
        <f t="shared" si="34"/>
        <v>2.2829386763812964E-2</v>
      </c>
      <c r="G520" s="1" t="str">
        <f t="shared" ca="1" si="35"/>
        <v>=E520/E519-1</v>
      </c>
    </row>
    <row r="521" spans="1:7">
      <c r="A521" s="14">
        <v>43924</v>
      </c>
      <c r="B521" s="11">
        <f>VLOOKUP(A521,[1]HD_price_daily!$A$8:$B$1768,2,0)</f>
        <v>178.7</v>
      </c>
      <c r="C521">
        <f t="shared" si="32"/>
        <v>-1.4395234680933289E-2</v>
      </c>
      <c r="D521" s="1" t="str">
        <f t="shared" ca="1" si="33"/>
        <v>=B521/B520-1</v>
      </c>
      <c r="E521" s="8">
        <f>VLOOKUP(A521,'[1]S&amp;P500_DAILY'!$A$8:$B$1768,2,0)</f>
        <v>2488.65</v>
      </c>
      <c r="F521" s="1">
        <f t="shared" si="34"/>
        <v>-1.5137124539950086E-2</v>
      </c>
      <c r="G521" s="1" t="str">
        <f t="shared" ca="1" si="35"/>
        <v>=E521/E520-1</v>
      </c>
    </row>
    <row r="522" spans="1:7">
      <c r="A522" s="14">
        <v>43927</v>
      </c>
      <c r="B522" s="11">
        <f>VLOOKUP(A522,[1]HD_price_daily!$A$8:$B$1768,2,0)</f>
        <v>191.33</v>
      </c>
      <c r="C522">
        <f t="shared" si="32"/>
        <v>7.0677112479015314E-2</v>
      </c>
      <c r="D522" s="1" t="str">
        <f t="shared" ca="1" si="33"/>
        <v>=B522/B521-1</v>
      </c>
      <c r="E522" s="8">
        <f>VLOOKUP(A522,'[1]S&amp;P500_DAILY'!$A$8:$B$1768,2,0)</f>
        <v>2663.68</v>
      </c>
      <c r="F522" s="1">
        <f t="shared" si="34"/>
        <v>7.0331304120707872E-2</v>
      </c>
      <c r="G522" s="1" t="str">
        <f t="shared" ca="1" si="35"/>
        <v>=E522/E521-1</v>
      </c>
    </row>
    <row r="523" spans="1:7">
      <c r="A523" s="14">
        <v>43928</v>
      </c>
      <c r="B523" s="11">
        <f>VLOOKUP(A523,[1]HD_price_daily!$A$8:$B$1768,2,0)</f>
        <v>192.29</v>
      </c>
      <c r="C523">
        <f t="shared" si="32"/>
        <v>5.0175090158364188E-3</v>
      </c>
      <c r="D523" s="1" t="str">
        <f t="shared" ca="1" si="33"/>
        <v>=B523/B522-1</v>
      </c>
      <c r="E523" s="8">
        <f>VLOOKUP(A523,'[1]S&amp;P500_DAILY'!$A$8:$B$1768,2,0)</f>
        <v>2659.41</v>
      </c>
      <c r="F523" s="1">
        <f t="shared" si="34"/>
        <v>-1.6030454108602044E-3</v>
      </c>
      <c r="G523" s="1" t="str">
        <f t="shared" ca="1" si="35"/>
        <v>=E523/E522-1</v>
      </c>
    </row>
    <row r="524" spans="1:7">
      <c r="A524" s="14">
        <v>43929</v>
      </c>
      <c r="B524" s="11">
        <f>VLOOKUP(A524,[1]HD_price_daily!$A$8:$B$1768,2,0)</f>
        <v>194.82</v>
      </c>
      <c r="C524">
        <f t="shared" si="32"/>
        <v>1.3157210463362601E-2</v>
      </c>
      <c r="D524" s="1" t="str">
        <f t="shared" ca="1" si="33"/>
        <v>=B524/B523-1</v>
      </c>
      <c r="E524" s="8">
        <f>VLOOKUP(A524,'[1]S&amp;P500_DAILY'!$A$8:$B$1768,2,0)</f>
        <v>2749.98</v>
      </c>
      <c r="F524" s="1">
        <f t="shared" si="34"/>
        <v>3.4056426049386967E-2</v>
      </c>
      <c r="G524" s="1" t="str">
        <f t="shared" ca="1" si="35"/>
        <v>=E524/E523-1</v>
      </c>
    </row>
    <row r="525" spans="1:7">
      <c r="A525" s="14">
        <v>43930</v>
      </c>
      <c r="B525" s="11">
        <f>VLOOKUP(A525,[1]HD_price_daily!$A$8:$B$1768,2,0)</f>
        <v>201.53</v>
      </c>
      <c r="C525">
        <f t="shared" si="32"/>
        <v>3.4442049070937397E-2</v>
      </c>
      <c r="D525" s="1" t="str">
        <f t="shared" ca="1" si="33"/>
        <v>=B525/B524-1</v>
      </c>
      <c r="E525" s="8">
        <f>VLOOKUP(A525,'[1]S&amp;P500_DAILY'!$A$8:$B$1768,2,0)</f>
        <v>2789.82</v>
      </c>
      <c r="F525" s="1">
        <f t="shared" si="34"/>
        <v>1.448737809002254E-2</v>
      </c>
      <c r="G525" s="1" t="str">
        <f t="shared" ca="1" si="35"/>
        <v>=E525/E524-1</v>
      </c>
    </row>
    <row r="526" spans="1:7">
      <c r="A526" s="14">
        <v>43934</v>
      </c>
      <c r="B526" s="11">
        <f>VLOOKUP(A526,[1]HD_price_daily!$A$8:$B$1768,2,0)</f>
        <v>198.79</v>
      </c>
      <c r="C526">
        <f t="shared" si="32"/>
        <v>-1.3595990671364078E-2</v>
      </c>
      <c r="D526" s="1" t="str">
        <f t="shared" ca="1" si="33"/>
        <v>=B526/B525-1</v>
      </c>
      <c r="E526" s="8">
        <f>VLOOKUP(A526,'[1]S&amp;P500_DAILY'!$A$8:$B$1768,2,0)</f>
        <v>2761.63</v>
      </c>
      <c r="F526" s="1">
        <f t="shared" si="34"/>
        <v>-1.0104594561656355E-2</v>
      </c>
      <c r="G526" s="1" t="str">
        <f t="shared" ca="1" si="35"/>
        <v>=E526/E525-1</v>
      </c>
    </row>
    <row r="527" spans="1:7">
      <c r="A527" s="14">
        <v>43935</v>
      </c>
      <c r="B527" s="11">
        <f>VLOOKUP(A527,[1]HD_price_daily!$A$8:$B$1768,2,0)</f>
        <v>207.17</v>
      </c>
      <c r="C527">
        <f t="shared" si="32"/>
        <v>4.215503797977771E-2</v>
      </c>
      <c r="D527" s="1" t="str">
        <f t="shared" ca="1" si="33"/>
        <v>=B527/B526-1</v>
      </c>
      <c r="E527" s="8">
        <f>VLOOKUP(A527,'[1]S&amp;P500_DAILY'!$A$8:$B$1768,2,0)</f>
        <v>2846.06</v>
      </c>
      <c r="F527" s="1">
        <f t="shared" si="34"/>
        <v>3.0572524197665762E-2</v>
      </c>
      <c r="G527" s="1" t="str">
        <f t="shared" ca="1" si="35"/>
        <v>=E527/E526-1</v>
      </c>
    </row>
    <row r="528" spans="1:7">
      <c r="A528" s="14">
        <v>43936</v>
      </c>
      <c r="B528" s="11">
        <f>VLOOKUP(A528,[1]HD_price_daily!$A$8:$B$1768,2,0)</f>
        <v>198.48</v>
      </c>
      <c r="C528">
        <f t="shared" si="32"/>
        <v>-4.1946227735676023E-2</v>
      </c>
      <c r="D528" s="1" t="str">
        <f t="shared" ca="1" si="33"/>
        <v>=B528/B527-1</v>
      </c>
      <c r="E528" s="8">
        <f>VLOOKUP(A528,'[1]S&amp;P500_DAILY'!$A$8:$B$1768,2,0)</f>
        <v>2783.36</v>
      </c>
      <c r="F528" s="1">
        <f t="shared" si="34"/>
        <v>-2.2030456139364496E-2</v>
      </c>
      <c r="G528" s="1" t="str">
        <f t="shared" ca="1" si="35"/>
        <v>=E528/E527-1</v>
      </c>
    </row>
    <row r="529" spans="1:7">
      <c r="A529" s="14">
        <v>43937</v>
      </c>
      <c r="B529" s="11">
        <f>VLOOKUP(A529,[1]HD_price_daily!$A$8:$B$1768,2,0)</f>
        <v>199.85</v>
      </c>
      <c r="C529">
        <f t="shared" si="32"/>
        <v>6.9024586860138015E-3</v>
      </c>
      <c r="D529" s="1" t="str">
        <f t="shared" ca="1" si="33"/>
        <v>=B529/B528-1</v>
      </c>
      <c r="E529" s="8">
        <f>VLOOKUP(A529,'[1]S&amp;P500_DAILY'!$A$8:$B$1768,2,0)</f>
        <v>2799.55</v>
      </c>
      <c r="F529" s="1">
        <f t="shared" si="34"/>
        <v>5.8167107381006389E-3</v>
      </c>
      <c r="G529" s="1" t="str">
        <f t="shared" ca="1" si="35"/>
        <v>=E529/E528-1</v>
      </c>
    </row>
    <row r="530" spans="1:7">
      <c r="A530" s="14">
        <v>43938</v>
      </c>
      <c r="B530" s="11">
        <f>VLOOKUP(A530,[1]HD_price_daily!$A$8:$B$1768,2,0)</f>
        <v>209.42</v>
      </c>
      <c r="C530">
        <f t="shared" si="32"/>
        <v>4.7885914435826793E-2</v>
      </c>
      <c r="D530" s="1" t="str">
        <f t="shared" ca="1" si="33"/>
        <v>=B530/B529-1</v>
      </c>
      <c r="E530" s="8">
        <f>VLOOKUP(A530,'[1]S&amp;P500_DAILY'!$A$8:$B$1768,2,0)</f>
        <v>2874.56</v>
      </c>
      <c r="F530" s="1">
        <f t="shared" si="34"/>
        <v>2.6793591827257934E-2</v>
      </c>
      <c r="G530" s="1" t="str">
        <f t="shared" ca="1" si="35"/>
        <v>=E530/E529-1</v>
      </c>
    </row>
    <row r="531" spans="1:7">
      <c r="A531" s="14">
        <v>43941</v>
      </c>
      <c r="B531" s="11">
        <f>VLOOKUP(A531,[1]HD_price_daily!$A$8:$B$1768,2,0)</f>
        <v>206.05</v>
      </c>
      <c r="C531">
        <f t="shared" si="32"/>
        <v>-1.6092063795243861E-2</v>
      </c>
      <c r="D531" s="1" t="str">
        <f t="shared" ca="1" si="33"/>
        <v>=B531/B530-1</v>
      </c>
      <c r="E531" s="8">
        <f>VLOOKUP(A531,'[1]S&amp;P500_DAILY'!$A$8:$B$1768,2,0)</f>
        <v>2823.16</v>
      </c>
      <c r="F531" s="1">
        <f t="shared" si="34"/>
        <v>-1.7880997439608137E-2</v>
      </c>
      <c r="G531" s="1" t="str">
        <f t="shared" ca="1" si="35"/>
        <v>=E531/E530-1</v>
      </c>
    </row>
    <row r="532" spans="1:7">
      <c r="A532" s="14">
        <v>43942</v>
      </c>
      <c r="B532" s="11">
        <f>VLOOKUP(A532,[1]HD_price_daily!$A$8:$B$1768,2,0)</f>
        <v>200.61</v>
      </c>
      <c r="C532">
        <f t="shared" si="32"/>
        <v>-2.6401358893472393E-2</v>
      </c>
      <c r="D532" s="1" t="str">
        <f t="shared" ca="1" si="33"/>
        <v>=B532/B531-1</v>
      </c>
      <c r="E532" s="8">
        <f>VLOOKUP(A532,'[1]S&amp;P500_DAILY'!$A$8:$B$1768,2,0)</f>
        <v>2736.56</v>
      </c>
      <c r="F532" s="1">
        <f t="shared" si="34"/>
        <v>-3.0674846625766805E-2</v>
      </c>
      <c r="G532" s="1" t="str">
        <f t="shared" ca="1" si="35"/>
        <v>=E532/E531-1</v>
      </c>
    </row>
    <row r="533" spans="1:7">
      <c r="A533" s="14">
        <v>43943</v>
      </c>
      <c r="B533" s="11">
        <f>VLOOKUP(A533,[1]HD_price_daily!$A$8:$B$1768,2,0)</f>
        <v>204.17</v>
      </c>
      <c r="C533">
        <f t="shared" si="32"/>
        <v>1.7745875081002893E-2</v>
      </c>
      <c r="D533" s="1" t="str">
        <f t="shared" ca="1" si="33"/>
        <v>=B533/B532-1</v>
      </c>
      <c r="E533" s="8">
        <f>VLOOKUP(A533,'[1]S&amp;P500_DAILY'!$A$8:$B$1768,2,0)</f>
        <v>2799.31</v>
      </c>
      <c r="F533" s="1">
        <f t="shared" si="34"/>
        <v>2.2930248194813929E-2</v>
      </c>
      <c r="G533" s="1" t="str">
        <f t="shared" ca="1" si="35"/>
        <v>=E533/E532-1</v>
      </c>
    </row>
    <row r="534" spans="1:7">
      <c r="A534" s="14">
        <v>43944</v>
      </c>
      <c r="B534" s="11">
        <f>VLOOKUP(A534,[1]HD_price_daily!$A$8:$B$1768,2,0)</f>
        <v>202.32</v>
      </c>
      <c r="C534">
        <f t="shared" si="32"/>
        <v>-9.0610765538521321E-3</v>
      </c>
      <c r="D534" s="1" t="str">
        <f t="shared" ca="1" si="33"/>
        <v>=B534/B533-1</v>
      </c>
      <c r="E534" s="8">
        <f>VLOOKUP(A534,'[1]S&amp;P500_DAILY'!$A$8:$B$1768,2,0)</f>
        <v>2797.8</v>
      </c>
      <c r="F534" s="1">
        <f t="shared" si="34"/>
        <v>-5.3941864245110605E-4</v>
      </c>
      <c r="G534" s="1" t="str">
        <f t="shared" ca="1" si="35"/>
        <v>=E534/E533-1</v>
      </c>
    </row>
    <row r="535" spans="1:7">
      <c r="A535" s="14">
        <v>43945</v>
      </c>
      <c r="B535" s="11">
        <f>VLOOKUP(A535,[1]HD_price_daily!$A$8:$B$1768,2,0)</f>
        <v>212.18</v>
      </c>
      <c r="C535">
        <f t="shared" si="32"/>
        <v>4.8734677738236476E-2</v>
      </c>
      <c r="D535" s="1" t="str">
        <f t="shared" ca="1" si="33"/>
        <v>=B535/B534-1</v>
      </c>
      <c r="E535" s="8">
        <f>VLOOKUP(A535,'[1]S&amp;P500_DAILY'!$A$8:$B$1768,2,0)</f>
        <v>2836.74</v>
      </c>
      <c r="F535" s="1">
        <f t="shared" si="34"/>
        <v>1.3918078490242181E-2</v>
      </c>
      <c r="G535" s="1" t="str">
        <f t="shared" ca="1" si="35"/>
        <v>=E535/E534-1</v>
      </c>
    </row>
    <row r="536" spans="1:7">
      <c r="A536" s="14">
        <v>43948</v>
      </c>
      <c r="B536" s="11">
        <f>VLOOKUP(A536,[1]HD_price_daily!$A$8:$B$1768,2,0)</f>
        <v>217.76</v>
      </c>
      <c r="C536">
        <f t="shared" si="32"/>
        <v>2.6298425864831776E-2</v>
      </c>
      <c r="D536" s="1" t="str">
        <f t="shared" ca="1" si="33"/>
        <v>=B536/B535-1</v>
      </c>
      <c r="E536" s="8">
        <f>VLOOKUP(A536,'[1]S&amp;P500_DAILY'!$A$8:$B$1768,2,0)</f>
        <v>2878.48</v>
      </c>
      <c r="F536" s="1">
        <f t="shared" si="34"/>
        <v>1.4714073196697708E-2</v>
      </c>
      <c r="G536" s="1" t="str">
        <f t="shared" ca="1" si="35"/>
        <v>=E536/E535-1</v>
      </c>
    </row>
    <row r="537" spans="1:7">
      <c r="A537" s="14">
        <v>43949</v>
      </c>
      <c r="B537" s="11">
        <f>VLOOKUP(A537,[1]HD_price_daily!$A$8:$B$1768,2,0)</f>
        <v>217.63</v>
      </c>
      <c r="C537">
        <f t="shared" si="32"/>
        <v>-5.9698750918435461E-4</v>
      </c>
      <c r="D537" s="1" t="str">
        <f t="shared" ca="1" si="33"/>
        <v>=B537/B536-1</v>
      </c>
      <c r="E537" s="8">
        <f>VLOOKUP(A537,'[1]S&amp;P500_DAILY'!$A$8:$B$1768,2,0)</f>
        <v>2863.39</v>
      </c>
      <c r="F537" s="1">
        <f t="shared" si="34"/>
        <v>-5.2423501292349073E-3</v>
      </c>
      <c r="G537" s="1" t="str">
        <f t="shared" ca="1" si="35"/>
        <v>=E537/E536-1</v>
      </c>
    </row>
    <row r="538" spans="1:7">
      <c r="A538" s="14">
        <v>43950</v>
      </c>
      <c r="B538" s="11">
        <f>VLOOKUP(A538,[1]HD_price_daily!$A$8:$B$1768,2,0)</f>
        <v>221.81</v>
      </c>
      <c r="C538">
        <f t="shared" si="32"/>
        <v>1.9206910811928601E-2</v>
      </c>
      <c r="D538" s="1" t="str">
        <f t="shared" ca="1" si="33"/>
        <v>=B538/B537-1</v>
      </c>
      <c r="E538" s="8">
        <f>VLOOKUP(A538,'[1]S&amp;P500_DAILY'!$A$8:$B$1768,2,0)</f>
        <v>2939.51</v>
      </c>
      <c r="F538" s="1">
        <f t="shared" si="34"/>
        <v>2.6583874358714787E-2</v>
      </c>
      <c r="G538" s="1" t="str">
        <f t="shared" ca="1" si="35"/>
        <v>=E538/E537-1</v>
      </c>
    </row>
    <row r="539" spans="1:7">
      <c r="A539" s="14">
        <v>43951</v>
      </c>
      <c r="B539" s="11">
        <f>VLOOKUP(A539,[1]HD_price_daily!$A$8:$B$1768,2,0)</f>
        <v>219.83</v>
      </c>
      <c r="C539">
        <f t="shared" si="32"/>
        <v>-8.9265587665118273E-3</v>
      </c>
      <c r="D539" s="1" t="str">
        <f t="shared" ca="1" si="33"/>
        <v>=B539/B538-1</v>
      </c>
      <c r="E539" s="8">
        <f>VLOOKUP(A539,'[1]S&amp;P500_DAILY'!$A$8:$B$1768,2,0)</f>
        <v>2912.43</v>
      </c>
      <c r="F539" s="1">
        <f t="shared" si="34"/>
        <v>-9.2124197570344624E-3</v>
      </c>
      <c r="G539" s="1" t="str">
        <f t="shared" ca="1" si="35"/>
        <v>=E539/E538-1</v>
      </c>
    </row>
    <row r="540" spans="1:7">
      <c r="A540" s="14">
        <v>43952</v>
      </c>
      <c r="B540" s="11">
        <f>VLOOKUP(A540,[1]HD_price_daily!$A$8:$B$1768,2,0)</f>
        <v>218.57</v>
      </c>
      <c r="C540">
        <f t="shared" si="32"/>
        <v>-5.7317017695492911E-3</v>
      </c>
      <c r="D540" s="1" t="str">
        <f t="shared" ca="1" si="33"/>
        <v>=B540/B539-1</v>
      </c>
      <c r="E540" s="8">
        <f>VLOOKUP(A540,'[1]S&amp;P500_DAILY'!$A$8:$B$1768,2,0)</f>
        <v>2830.71</v>
      </c>
      <c r="F540" s="1">
        <f t="shared" si="34"/>
        <v>-2.8059043479156554E-2</v>
      </c>
      <c r="G540" s="1" t="str">
        <f t="shared" ca="1" si="35"/>
        <v>=E540/E539-1</v>
      </c>
    </row>
    <row r="541" spans="1:7">
      <c r="A541" s="14">
        <v>43955</v>
      </c>
      <c r="B541" s="11">
        <f>VLOOKUP(A541,[1]HD_price_daily!$A$8:$B$1768,2,0)</f>
        <v>221.84</v>
      </c>
      <c r="C541">
        <f t="shared" si="32"/>
        <v>1.4960882097268646E-2</v>
      </c>
      <c r="D541" s="1" t="str">
        <f t="shared" ca="1" si="33"/>
        <v>=B541/B540-1</v>
      </c>
      <c r="E541" s="8">
        <f>VLOOKUP(A541,'[1]S&amp;P500_DAILY'!$A$8:$B$1768,2,0)</f>
        <v>2842.74</v>
      </c>
      <c r="F541" s="1">
        <f t="shared" si="34"/>
        <v>4.2498171836746756E-3</v>
      </c>
      <c r="G541" s="1" t="str">
        <f t="shared" ca="1" si="35"/>
        <v>=E541/E540-1</v>
      </c>
    </row>
    <row r="542" spans="1:7">
      <c r="A542" s="14">
        <v>43956</v>
      </c>
      <c r="B542" s="11">
        <f>VLOOKUP(A542,[1]HD_price_daily!$A$8:$B$1768,2,0)</f>
        <v>225.61</v>
      </c>
      <c r="C542">
        <f t="shared" si="32"/>
        <v>1.6994230075730199E-2</v>
      </c>
      <c r="D542" s="1" t="str">
        <f t="shared" ca="1" si="33"/>
        <v>=B542/B541-1</v>
      </c>
      <c r="E542" s="8">
        <f>VLOOKUP(A542,'[1]S&amp;P500_DAILY'!$A$8:$B$1768,2,0)</f>
        <v>2868.44</v>
      </c>
      <c r="F542" s="1">
        <f t="shared" si="34"/>
        <v>9.0405735311707147E-3</v>
      </c>
      <c r="G542" s="1" t="str">
        <f t="shared" ca="1" si="35"/>
        <v>=E542/E541-1</v>
      </c>
    </row>
    <row r="543" spans="1:7">
      <c r="A543" s="14">
        <v>43957</v>
      </c>
      <c r="B543" s="11">
        <f>VLOOKUP(A543,[1]HD_price_daily!$A$8:$B$1768,2,0)</f>
        <v>223.92</v>
      </c>
      <c r="C543">
        <f t="shared" si="32"/>
        <v>-7.4908027126457943E-3</v>
      </c>
      <c r="D543" s="1" t="str">
        <f t="shared" ca="1" si="33"/>
        <v>=B543/B542-1</v>
      </c>
      <c r="E543" s="8">
        <f>VLOOKUP(A543,'[1]S&amp;P500_DAILY'!$A$8:$B$1768,2,0)</f>
        <v>2848.42</v>
      </c>
      <c r="F543" s="1">
        <f t="shared" si="34"/>
        <v>-6.9794034388029891E-3</v>
      </c>
      <c r="G543" s="1" t="str">
        <f t="shared" ca="1" si="35"/>
        <v>=E543/E542-1</v>
      </c>
    </row>
    <row r="544" spans="1:7">
      <c r="A544" s="14">
        <v>43958</v>
      </c>
      <c r="B544" s="11">
        <f>VLOOKUP(A544,[1]HD_price_daily!$A$8:$B$1768,2,0)</f>
        <v>229.45</v>
      </c>
      <c r="C544">
        <f t="shared" si="32"/>
        <v>2.4696320114326653E-2</v>
      </c>
      <c r="D544" s="1" t="str">
        <f t="shared" ca="1" si="33"/>
        <v>=B544/B543-1</v>
      </c>
      <c r="E544" s="8">
        <f>VLOOKUP(A544,'[1]S&amp;P500_DAILY'!$A$8:$B$1768,2,0)</f>
        <v>2881.19</v>
      </c>
      <c r="F544" s="1">
        <f t="shared" si="34"/>
        <v>1.1504623615899323E-2</v>
      </c>
      <c r="G544" s="1" t="str">
        <f t="shared" ca="1" si="35"/>
        <v>=E544/E543-1</v>
      </c>
    </row>
    <row r="545" spans="1:7">
      <c r="A545" s="14">
        <v>43959</v>
      </c>
      <c r="B545" s="11">
        <f>VLOOKUP(A545,[1]HD_price_daily!$A$8:$B$1768,2,0)</f>
        <v>234.43</v>
      </c>
      <c r="C545">
        <f t="shared" si="32"/>
        <v>2.1704074961865327E-2</v>
      </c>
      <c r="D545" s="1" t="str">
        <f t="shared" ca="1" si="33"/>
        <v>=B545/B544-1</v>
      </c>
      <c r="E545" s="8">
        <f>VLOOKUP(A545,'[1]S&amp;P500_DAILY'!$A$8:$B$1768,2,0)</f>
        <v>2929.8</v>
      </c>
      <c r="F545" s="1">
        <f t="shared" si="34"/>
        <v>1.6871501011734846E-2</v>
      </c>
      <c r="G545" s="1" t="str">
        <f t="shared" ca="1" si="35"/>
        <v>=E545/E544-1</v>
      </c>
    </row>
    <row r="546" spans="1:7">
      <c r="A546" s="14">
        <v>43962</v>
      </c>
      <c r="B546" s="11">
        <f>VLOOKUP(A546,[1]HD_price_daily!$A$8:$B$1768,2,0)</f>
        <v>236.56</v>
      </c>
      <c r="C546">
        <f t="shared" si="32"/>
        <v>9.0858678496779088E-3</v>
      </c>
      <c r="D546" s="1" t="str">
        <f t="shared" ca="1" si="33"/>
        <v>=B546/B545-1</v>
      </c>
      <c r="E546" s="8">
        <f>VLOOKUP(A546,'[1]S&amp;P500_DAILY'!$A$8:$B$1768,2,0)</f>
        <v>2930.32</v>
      </c>
      <c r="F546" s="1">
        <f t="shared" si="34"/>
        <v>1.7748651785098879E-4</v>
      </c>
      <c r="G546" s="1" t="str">
        <f t="shared" ca="1" si="35"/>
        <v>=E546/E545-1</v>
      </c>
    </row>
    <row r="547" spans="1:7">
      <c r="A547" s="14">
        <v>43963</v>
      </c>
      <c r="B547" s="11">
        <f>VLOOKUP(A547,[1]HD_price_daily!$A$8:$B$1768,2,0)</f>
        <v>232.9</v>
      </c>
      <c r="C547">
        <f t="shared" si="32"/>
        <v>-1.5471761920865745E-2</v>
      </c>
      <c r="D547" s="1" t="str">
        <f t="shared" ca="1" si="33"/>
        <v>=B547/B546-1</v>
      </c>
      <c r="E547" s="8">
        <f>VLOOKUP(A547,'[1]S&amp;P500_DAILY'!$A$8:$B$1768,2,0)</f>
        <v>2870.12</v>
      </c>
      <c r="F547" s="1">
        <f t="shared" si="34"/>
        <v>-2.054383139042848E-2</v>
      </c>
      <c r="G547" s="1" t="str">
        <f t="shared" ca="1" si="35"/>
        <v>=E547/E546-1</v>
      </c>
    </row>
    <row r="548" spans="1:7">
      <c r="A548" s="14">
        <v>43964</v>
      </c>
      <c r="B548" s="11">
        <f>VLOOKUP(A548,[1]HD_price_daily!$A$8:$B$1768,2,0)</f>
        <v>230.1</v>
      </c>
      <c r="C548">
        <f t="shared" si="32"/>
        <v>-1.2022327179046832E-2</v>
      </c>
      <c r="D548" s="1" t="str">
        <f t="shared" ca="1" si="33"/>
        <v>=B548/B547-1</v>
      </c>
      <c r="E548" s="8">
        <f>VLOOKUP(A548,'[1]S&amp;P500_DAILY'!$A$8:$B$1768,2,0)</f>
        <v>2820</v>
      </c>
      <c r="F548" s="1">
        <f t="shared" si="34"/>
        <v>-1.7462684487059787E-2</v>
      </c>
      <c r="G548" s="1" t="str">
        <f t="shared" ca="1" si="35"/>
        <v>=E548/E547-1</v>
      </c>
    </row>
    <row r="549" spans="1:7">
      <c r="A549" s="14">
        <v>43965</v>
      </c>
      <c r="B549" s="11">
        <f>VLOOKUP(A549,[1]HD_price_daily!$A$8:$B$1768,2,0)</f>
        <v>234.48</v>
      </c>
      <c r="C549">
        <f t="shared" si="32"/>
        <v>1.9035202086049585E-2</v>
      </c>
      <c r="D549" s="1" t="str">
        <f t="shared" ca="1" si="33"/>
        <v>=B549/B548-1</v>
      </c>
      <c r="E549" s="8">
        <f>VLOOKUP(A549,'[1]S&amp;P500_DAILY'!$A$8:$B$1768,2,0)</f>
        <v>2852.5</v>
      </c>
      <c r="F549" s="1">
        <f t="shared" si="34"/>
        <v>1.1524822695035519E-2</v>
      </c>
      <c r="G549" s="1" t="str">
        <f t="shared" ca="1" si="35"/>
        <v>=E549/E548-1</v>
      </c>
    </row>
    <row r="550" spans="1:7">
      <c r="A550" s="14">
        <v>43966</v>
      </c>
      <c r="B550" s="11">
        <f>VLOOKUP(A550,[1]HD_price_daily!$A$8:$B$1768,2,0)</f>
        <v>239.33</v>
      </c>
      <c r="C550">
        <f t="shared" si="32"/>
        <v>2.0684066871375029E-2</v>
      </c>
      <c r="D550" s="1" t="str">
        <f t="shared" ca="1" si="33"/>
        <v>=B550/B549-1</v>
      </c>
      <c r="E550" s="8">
        <f>VLOOKUP(A550,'[1]S&amp;P500_DAILY'!$A$8:$B$1768,2,0)</f>
        <v>2863.7</v>
      </c>
      <c r="F550" s="1">
        <f t="shared" si="34"/>
        <v>3.9263803680980036E-3</v>
      </c>
      <c r="G550" s="1" t="str">
        <f t="shared" ca="1" si="35"/>
        <v>=E550/E549-1</v>
      </c>
    </row>
    <row r="551" spans="1:7">
      <c r="A551" s="14">
        <v>43969</v>
      </c>
      <c r="B551" s="11">
        <f>VLOOKUP(A551,[1]HD_price_daily!$A$8:$B$1768,2,0)</f>
        <v>245.35</v>
      </c>
      <c r="C551">
        <f t="shared" si="32"/>
        <v>2.5153553670663964E-2</v>
      </c>
      <c r="D551" s="1" t="str">
        <f t="shared" ca="1" si="33"/>
        <v>=B551/B550-1</v>
      </c>
      <c r="E551" s="8">
        <f>VLOOKUP(A551,'[1]S&amp;P500_DAILY'!$A$8:$B$1768,2,0)</f>
        <v>2953.91</v>
      </c>
      <c r="F551" s="1">
        <f t="shared" si="34"/>
        <v>3.1501204735132848E-2</v>
      </c>
      <c r="G551" s="1" t="str">
        <f t="shared" ca="1" si="35"/>
        <v>=E551/E550-1</v>
      </c>
    </row>
    <row r="552" spans="1:7">
      <c r="A552" s="14">
        <v>43970</v>
      </c>
      <c r="B552" s="11">
        <f>VLOOKUP(A552,[1]HD_price_daily!$A$8:$B$1768,2,0)</f>
        <v>238.1</v>
      </c>
      <c r="C552">
        <f t="shared" si="32"/>
        <v>-2.9549622987568802E-2</v>
      </c>
      <c r="D552" s="1" t="str">
        <f t="shared" ca="1" si="33"/>
        <v>=B552/B551-1</v>
      </c>
      <c r="E552" s="8">
        <f>VLOOKUP(A552,'[1]S&amp;P500_DAILY'!$A$8:$B$1768,2,0)</f>
        <v>2922.94</v>
      </c>
      <c r="F552" s="1">
        <f t="shared" si="34"/>
        <v>-1.0484408800538914E-2</v>
      </c>
      <c r="G552" s="1" t="str">
        <f t="shared" ca="1" si="35"/>
        <v>=E552/E551-1</v>
      </c>
    </row>
    <row r="553" spans="1:7">
      <c r="A553" s="14">
        <v>43971</v>
      </c>
      <c r="B553" s="11">
        <f>VLOOKUP(A553,[1]HD_price_daily!$A$8:$B$1768,2,0)</f>
        <v>238.19</v>
      </c>
      <c r="C553">
        <f t="shared" si="32"/>
        <v>3.7799244015124245E-4</v>
      </c>
      <c r="D553" s="1" t="str">
        <f t="shared" ca="1" si="33"/>
        <v>=B553/B552-1</v>
      </c>
      <c r="E553" s="8">
        <f>VLOOKUP(A553,'[1]S&amp;P500_DAILY'!$A$8:$B$1768,2,0)</f>
        <v>2971.61</v>
      </c>
      <c r="F553" s="1">
        <f t="shared" si="34"/>
        <v>1.6651043127809739E-2</v>
      </c>
      <c r="G553" s="1" t="str">
        <f t="shared" ca="1" si="35"/>
        <v>=E553/E552-1</v>
      </c>
    </row>
    <row r="554" spans="1:7">
      <c r="A554" s="14">
        <v>43972</v>
      </c>
      <c r="B554" s="11">
        <f>VLOOKUP(A554,[1]HD_price_daily!$A$8:$B$1768,2,0)</f>
        <v>240.88</v>
      </c>
      <c r="C554">
        <f t="shared" si="32"/>
        <v>1.1293505184936325E-2</v>
      </c>
      <c r="D554" s="1" t="str">
        <f t="shared" ca="1" si="33"/>
        <v>=B554/B553-1</v>
      </c>
      <c r="E554" s="8">
        <f>VLOOKUP(A554,'[1]S&amp;P500_DAILY'!$A$8:$B$1768,2,0)</f>
        <v>2948.51</v>
      </c>
      <c r="F554" s="1">
        <f t="shared" si="34"/>
        <v>-7.7735638256701822E-3</v>
      </c>
      <c r="G554" s="1" t="str">
        <f t="shared" ca="1" si="35"/>
        <v>=E554/E553-1</v>
      </c>
    </row>
    <row r="555" spans="1:7">
      <c r="A555" s="14">
        <v>43973</v>
      </c>
      <c r="B555" s="11">
        <f>VLOOKUP(A555,[1]HD_price_daily!$A$8:$B$1768,2,0)</f>
        <v>241.88</v>
      </c>
      <c r="C555">
        <f t="shared" si="32"/>
        <v>4.1514447027566348E-3</v>
      </c>
      <c r="D555" s="1" t="str">
        <f t="shared" ca="1" si="33"/>
        <v>=B555/B554-1</v>
      </c>
      <c r="E555" s="8">
        <f>VLOOKUP(A555,'[1]S&amp;P500_DAILY'!$A$8:$B$1768,2,0)</f>
        <v>2955.45</v>
      </c>
      <c r="F555" s="1">
        <f t="shared" si="34"/>
        <v>2.3537312066093108E-3</v>
      </c>
      <c r="G555" s="1" t="str">
        <f t="shared" ca="1" si="35"/>
        <v>=E555/E554-1</v>
      </c>
    </row>
    <row r="556" spans="1:7">
      <c r="A556" s="14">
        <v>43977</v>
      </c>
      <c r="B556" s="11">
        <f>VLOOKUP(A556,[1]HD_price_daily!$A$8:$B$1768,2,0)</f>
        <v>242.48</v>
      </c>
      <c r="C556">
        <f t="shared" si="32"/>
        <v>2.4805688771292189E-3</v>
      </c>
      <c r="D556" s="1" t="str">
        <f t="shared" ca="1" si="33"/>
        <v>=B556/B555-1</v>
      </c>
      <c r="E556" s="8">
        <f>VLOOKUP(A556,'[1]S&amp;P500_DAILY'!$A$8:$B$1768,2,0)</f>
        <v>2991.77</v>
      </c>
      <c r="F556" s="1">
        <f t="shared" si="34"/>
        <v>1.2289160703107926E-2</v>
      </c>
      <c r="G556" s="1" t="str">
        <f t="shared" ca="1" si="35"/>
        <v>=E556/E555-1</v>
      </c>
    </row>
    <row r="557" spans="1:7">
      <c r="A557" s="14">
        <v>43978</v>
      </c>
      <c r="B557" s="11">
        <f>VLOOKUP(A557,[1]HD_price_daily!$A$8:$B$1768,2,0)</f>
        <v>247.36</v>
      </c>
      <c r="C557">
        <f t="shared" si="32"/>
        <v>2.0125371164632311E-2</v>
      </c>
      <c r="D557" s="1" t="str">
        <f t="shared" ca="1" si="33"/>
        <v>=B557/B556-1</v>
      </c>
      <c r="E557" s="8">
        <f>VLOOKUP(A557,'[1]S&amp;P500_DAILY'!$A$8:$B$1768,2,0)</f>
        <v>3036.13</v>
      </c>
      <c r="F557" s="1">
        <f t="shared" si="34"/>
        <v>1.4827343010993532E-2</v>
      </c>
      <c r="G557" s="1" t="str">
        <f t="shared" ca="1" si="35"/>
        <v>=E557/E556-1</v>
      </c>
    </row>
    <row r="558" spans="1:7">
      <c r="A558" s="14">
        <v>43979</v>
      </c>
      <c r="B558" s="11">
        <f>VLOOKUP(A558,[1]HD_price_daily!$A$8:$B$1768,2,0)</f>
        <v>245.14</v>
      </c>
      <c r="C558">
        <f t="shared" si="32"/>
        <v>-8.9747736093144237E-3</v>
      </c>
      <c r="D558" s="1" t="str">
        <f t="shared" ca="1" si="33"/>
        <v>=B558/B557-1</v>
      </c>
      <c r="E558" s="8">
        <f>VLOOKUP(A558,'[1]S&amp;P500_DAILY'!$A$8:$B$1768,2,0)</f>
        <v>3029.73</v>
      </c>
      <c r="F558" s="1">
        <f t="shared" si="34"/>
        <v>-2.1079466294262605E-3</v>
      </c>
      <c r="G558" s="1" t="str">
        <f t="shared" ca="1" si="35"/>
        <v>=E558/E557-1</v>
      </c>
    </row>
    <row r="559" spans="1:7">
      <c r="A559" s="14">
        <v>43980</v>
      </c>
      <c r="B559" s="11">
        <f>VLOOKUP(A559,[1]HD_price_daily!$A$8:$B$1768,2,0)</f>
        <v>248.48</v>
      </c>
      <c r="C559">
        <f t="shared" si="32"/>
        <v>1.3624867422697307E-2</v>
      </c>
      <c r="D559" s="1" t="str">
        <f t="shared" ca="1" si="33"/>
        <v>=B559/B558-1</v>
      </c>
      <c r="E559" s="8">
        <f>VLOOKUP(A559,'[1]S&amp;P500_DAILY'!$A$8:$B$1768,2,0)</f>
        <v>3044.31</v>
      </c>
      <c r="F559" s="1">
        <f t="shared" si="34"/>
        <v>4.8123100078225622E-3</v>
      </c>
      <c r="G559" s="1" t="str">
        <f t="shared" ca="1" si="35"/>
        <v>=E559/E558-1</v>
      </c>
    </row>
    <row r="560" spans="1:7">
      <c r="A560" s="14">
        <v>43983</v>
      </c>
      <c r="B560" s="11">
        <f>VLOOKUP(A560,[1]HD_price_daily!$A$8:$B$1768,2,0)</f>
        <v>247.29</v>
      </c>
      <c r="C560">
        <f t="shared" si="32"/>
        <v>-4.7891178364455333E-3</v>
      </c>
      <c r="D560" s="1" t="str">
        <f t="shared" ca="1" si="33"/>
        <v>=B560/B559-1</v>
      </c>
      <c r="E560" s="8">
        <f>VLOOKUP(A560,'[1]S&amp;P500_DAILY'!$A$8:$B$1768,2,0)</f>
        <v>3055.73</v>
      </c>
      <c r="F560" s="1">
        <f t="shared" si="34"/>
        <v>3.7512605483673855E-3</v>
      </c>
      <c r="G560" s="1" t="str">
        <f t="shared" ca="1" si="35"/>
        <v>=E560/E559-1</v>
      </c>
    </row>
    <row r="561" spans="1:7">
      <c r="A561" s="14">
        <v>43984</v>
      </c>
      <c r="B561" s="11">
        <f>VLOOKUP(A561,[1]HD_price_daily!$A$8:$B$1768,2,0)</f>
        <v>252.71</v>
      </c>
      <c r="C561">
        <f t="shared" si="32"/>
        <v>2.1917586639168762E-2</v>
      </c>
      <c r="D561" s="1" t="str">
        <f t="shared" ca="1" si="33"/>
        <v>=B561/B560-1</v>
      </c>
      <c r="E561" s="8">
        <f>VLOOKUP(A561,'[1]S&amp;P500_DAILY'!$A$8:$B$1768,2,0)</f>
        <v>3080.82</v>
      </c>
      <c r="F561" s="1">
        <f t="shared" si="34"/>
        <v>8.2108039650099496E-3</v>
      </c>
      <c r="G561" s="1" t="str">
        <f t="shared" ca="1" si="35"/>
        <v>=E561/E560-1</v>
      </c>
    </row>
    <row r="562" spans="1:7">
      <c r="A562" s="14">
        <v>43985</v>
      </c>
      <c r="B562" s="11">
        <f>VLOOKUP(A562,[1]HD_price_daily!$A$8:$B$1768,2,0)</f>
        <v>251</v>
      </c>
      <c r="C562">
        <f t="shared" si="32"/>
        <v>-6.7666495192117981E-3</v>
      </c>
      <c r="D562" s="1" t="str">
        <f t="shared" ca="1" si="33"/>
        <v>=B562/B561-1</v>
      </c>
      <c r="E562" s="8">
        <f>VLOOKUP(A562,'[1]S&amp;P500_DAILY'!$A$8:$B$1768,2,0)</f>
        <v>3122.87</v>
      </c>
      <c r="F562" s="1">
        <f t="shared" si="34"/>
        <v>1.3648963587616247E-2</v>
      </c>
      <c r="G562" s="1" t="str">
        <f t="shared" ca="1" si="35"/>
        <v>=E562/E561-1</v>
      </c>
    </row>
    <row r="563" spans="1:7">
      <c r="A563" s="14">
        <v>43986</v>
      </c>
      <c r="B563" s="11">
        <f>VLOOKUP(A563,[1]HD_price_daily!$A$8:$B$1768,2,0)</f>
        <v>248.95</v>
      </c>
      <c r="C563">
        <f t="shared" si="32"/>
        <v>-8.1673306772909182E-3</v>
      </c>
      <c r="D563" s="1" t="str">
        <f t="shared" ca="1" si="33"/>
        <v>=B563/B562-1</v>
      </c>
      <c r="E563" s="8">
        <f>VLOOKUP(A563,'[1]S&amp;P500_DAILY'!$A$8:$B$1768,2,0)</f>
        <v>3112.35</v>
      </c>
      <c r="F563" s="1">
        <f t="shared" si="34"/>
        <v>-3.3686961032639573E-3</v>
      </c>
      <c r="G563" s="1" t="str">
        <f t="shared" ca="1" si="35"/>
        <v>=E563/E562-1</v>
      </c>
    </row>
    <row r="564" spans="1:7">
      <c r="A564" s="14">
        <v>43987</v>
      </c>
      <c r="B564" s="11">
        <f>VLOOKUP(A564,[1]HD_price_daily!$A$8:$B$1768,2,0)</f>
        <v>254.9</v>
      </c>
      <c r="C564">
        <f t="shared" si="32"/>
        <v>2.3900381602731446E-2</v>
      </c>
      <c r="D564" s="1" t="str">
        <f t="shared" ca="1" si="33"/>
        <v>=B564/B563-1</v>
      </c>
      <c r="E564" s="8">
        <f>VLOOKUP(A564,'[1]S&amp;P500_DAILY'!$A$8:$B$1768,2,0)</f>
        <v>3193.93</v>
      </c>
      <c r="F564" s="1">
        <f t="shared" si="34"/>
        <v>2.621170498176606E-2</v>
      </c>
      <c r="G564" s="1" t="str">
        <f t="shared" ca="1" si="35"/>
        <v>=E564/E563-1</v>
      </c>
    </row>
    <row r="565" spans="1:7">
      <c r="A565" s="14">
        <v>43990</v>
      </c>
      <c r="B565" s="11">
        <f>VLOOKUP(A565,[1]HD_price_daily!$A$8:$B$1768,2,0)</f>
        <v>256.77</v>
      </c>
      <c r="C565">
        <f t="shared" si="32"/>
        <v>7.3362102785405892E-3</v>
      </c>
      <c r="D565" s="1" t="str">
        <f t="shared" ca="1" si="33"/>
        <v>=B565/B564-1</v>
      </c>
      <c r="E565" s="8">
        <f>VLOOKUP(A565,'[1]S&amp;P500_DAILY'!$A$8:$B$1768,2,0)</f>
        <v>3232.39</v>
      </c>
      <c r="F565" s="1">
        <f t="shared" si="34"/>
        <v>1.2041591393674889E-2</v>
      </c>
      <c r="G565" s="1" t="str">
        <f t="shared" ca="1" si="35"/>
        <v>=E565/E564-1</v>
      </c>
    </row>
    <row r="566" spans="1:7">
      <c r="A566" s="14">
        <v>43991</v>
      </c>
      <c r="B566" s="11">
        <f>VLOOKUP(A566,[1]HD_price_daily!$A$8:$B$1768,2,0)</f>
        <v>256.76</v>
      </c>
      <c r="C566">
        <f t="shared" si="32"/>
        <v>-3.8945359660313983E-5</v>
      </c>
      <c r="D566" s="1" t="str">
        <f t="shared" ca="1" si="33"/>
        <v>=B566/B565-1</v>
      </c>
      <c r="E566" s="8">
        <f>VLOOKUP(A566,'[1]S&amp;P500_DAILY'!$A$8:$B$1768,2,0)</f>
        <v>3207.18</v>
      </c>
      <c r="F566" s="1">
        <f t="shared" si="34"/>
        <v>-7.7991826481333959E-3</v>
      </c>
      <c r="G566" s="1" t="str">
        <f t="shared" ca="1" si="35"/>
        <v>=E566/E565-1</v>
      </c>
    </row>
    <row r="567" spans="1:7">
      <c r="A567" s="14">
        <v>43992</v>
      </c>
      <c r="B567" s="11">
        <f>VLOOKUP(A567,[1]HD_price_daily!$A$8:$B$1768,2,0)</f>
        <v>254.45</v>
      </c>
      <c r="C567">
        <f t="shared" si="32"/>
        <v>-8.9967284623773125E-3</v>
      </c>
      <c r="D567" s="1" t="str">
        <f t="shared" ca="1" si="33"/>
        <v>=B567/B566-1</v>
      </c>
      <c r="E567" s="8">
        <f>VLOOKUP(A567,'[1]S&amp;P500_DAILY'!$A$8:$B$1768,2,0)</f>
        <v>3190.14</v>
      </c>
      <c r="F567" s="1">
        <f t="shared" si="34"/>
        <v>-5.3130787794885004E-3</v>
      </c>
      <c r="G567" s="1" t="str">
        <f t="shared" ca="1" si="35"/>
        <v>=E567/E566-1</v>
      </c>
    </row>
    <row r="568" spans="1:7">
      <c r="A568" s="14">
        <v>43993</v>
      </c>
      <c r="B568" s="11">
        <f>VLOOKUP(A568,[1]HD_price_daily!$A$8:$B$1768,2,0)</f>
        <v>239.47</v>
      </c>
      <c r="C568">
        <f t="shared" si="32"/>
        <v>-5.887207702888575E-2</v>
      </c>
      <c r="D568" s="1" t="str">
        <f t="shared" ca="1" si="33"/>
        <v>=B568/B567-1</v>
      </c>
      <c r="E568" s="8">
        <f>VLOOKUP(A568,'[1]S&amp;P500_DAILY'!$A$8:$B$1768,2,0)</f>
        <v>3002.1</v>
      </c>
      <c r="F568" s="1">
        <f t="shared" si="34"/>
        <v>-5.8944121574601716E-2</v>
      </c>
      <c r="G568" s="1" t="str">
        <f t="shared" ca="1" si="35"/>
        <v>=E568/E567-1</v>
      </c>
    </row>
    <row r="569" spans="1:7">
      <c r="A569" s="14">
        <v>43994</v>
      </c>
      <c r="B569" s="11">
        <f>VLOOKUP(A569,[1]HD_price_daily!$A$8:$B$1768,2,0)</f>
        <v>242.45</v>
      </c>
      <c r="C569">
        <f t="shared" si="32"/>
        <v>1.2444147492378876E-2</v>
      </c>
      <c r="D569" s="1" t="str">
        <f t="shared" ca="1" si="33"/>
        <v>=B569/B568-1</v>
      </c>
      <c r="E569" s="8">
        <f>VLOOKUP(A569,'[1]S&amp;P500_DAILY'!$A$8:$B$1768,2,0)</f>
        <v>3041.31</v>
      </c>
      <c r="F569" s="1">
        <f t="shared" si="34"/>
        <v>1.3060857399820103E-2</v>
      </c>
      <c r="G569" s="1" t="str">
        <f t="shared" ca="1" si="35"/>
        <v>=E569/E568-1</v>
      </c>
    </row>
    <row r="570" spans="1:7">
      <c r="A570" s="14">
        <v>43997</v>
      </c>
      <c r="B570" s="11">
        <f>VLOOKUP(A570,[1]HD_price_daily!$A$8:$B$1768,2,0)</f>
        <v>241.36</v>
      </c>
      <c r="C570">
        <f t="shared" si="32"/>
        <v>-4.4957723241904057E-3</v>
      </c>
      <c r="D570" s="1" t="str">
        <f t="shared" ca="1" si="33"/>
        <v>=B570/B569-1</v>
      </c>
      <c r="E570" s="8">
        <f>VLOOKUP(A570,'[1]S&amp;P500_DAILY'!$A$8:$B$1768,2,0)</f>
        <v>3066.59</v>
      </c>
      <c r="F570" s="1">
        <f t="shared" si="34"/>
        <v>8.3122075684491925E-3</v>
      </c>
      <c r="G570" s="1" t="str">
        <f t="shared" ca="1" si="35"/>
        <v>=E570/E569-1</v>
      </c>
    </row>
    <row r="571" spans="1:7">
      <c r="A571" s="14">
        <v>43998</v>
      </c>
      <c r="B571" s="11">
        <f>VLOOKUP(A571,[1]HD_price_daily!$A$8:$B$1768,2,0)</f>
        <v>249.95</v>
      </c>
      <c r="C571">
        <f t="shared" si="32"/>
        <v>3.558999005634722E-2</v>
      </c>
      <c r="D571" s="1" t="str">
        <f t="shared" ca="1" si="33"/>
        <v>=B571/B570-1</v>
      </c>
      <c r="E571" s="8">
        <f>VLOOKUP(A571,'[1]S&amp;P500_DAILY'!$A$8:$B$1768,2,0)</f>
        <v>3124.74</v>
      </c>
      <c r="F571" s="1">
        <f t="shared" si="34"/>
        <v>1.8962430582503575E-2</v>
      </c>
      <c r="G571" s="1" t="str">
        <f t="shared" ca="1" si="35"/>
        <v>=E571/E570-1</v>
      </c>
    </row>
    <row r="572" spans="1:7">
      <c r="A572" s="14">
        <v>43999</v>
      </c>
      <c r="B572" s="11">
        <f>VLOOKUP(A572,[1]HD_price_daily!$A$8:$B$1768,2,0)</f>
        <v>250.85</v>
      </c>
      <c r="C572">
        <f t="shared" si="32"/>
        <v>3.6007201440289016E-3</v>
      </c>
      <c r="D572" s="1" t="str">
        <f t="shared" ca="1" si="33"/>
        <v>=B572/B571-1</v>
      </c>
      <c r="E572" s="8">
        <f>VLOOKUP(A572,'[1]S&amp;P500_DAILY'!$A$8:$B$1768,2,0)</f>
        <v>3113.49</v>
      </c>
      <c r="F572" s="1">
        <f t="shared" si="34"/>
        <v>-3.6002995449221364E-3</v>
      </c>
      <c r="G572" s="1" t="str">
        <f t="shared" ca="1" si="35"/>
        <v>=E572/E571-1</v>
      </c>
    </row>
    <row r="573" spans="1:7">
      <c r="A573" s="14">
        <v>44000</v>
      </c>
      <c r="B573" s="11">
        <f>VLOOKUP(A573,[1]HD_price_daily!$A$8:$B$1768,2,0)</f>
        <v>249.21</v>
      </c>
      <c r="C573">
        <f t="shared" si="32"/>
        <v>-6.5377715766393729E-3</v>
      </c>
      <c r="D573" s="1" t="str">
        <f t="shared" ca="1" si="33"/>
        <v>=B573/B572-1</v>
      </c>
      <c r="E573" s="8">
        <f>VLOOKUP(A573,'[1]S&amp;P500_DAILY'!$A$8:$B$1768,2,0)</f>
        <v>3115.34</v>
      </c>
      <c r="F573" s="1">
        <f t="shared" si="34"/>
        <v>5.9418851513903803E-4</v>
      </c>
      <c r="G573" s="1" t="str">
        <f t="shared" ca="1" si="35"/>
        <v>=E573/E572-1</v>
      </c>
    </row>
    <row r="574" spans="1:7">
      <c r="A574" s="14">
        <v>44001</v>
      </c>
      <c r="B574" s="11">
        <f>VLOOKUP(A574,[1]HD_price_daily!$A$8:$B$1768,2,0)</f>
        <v>246.65</v>
      </c>
      <c r="C574">
        <f t="shared" si="32"/>
        <v>-1.0272460976686326E-2</v>
      </c>
      <c r="D574" s="1" t="str">
        <f t="shared" ca="1" si="33"/>
        <v>=B574/B573-1</v>
      </c>
      <c r="E574" s="8">
        <f>VLOOKUP(A574,'[1]S&amp;P500_DAILY'!$A$8:$B$1768,2,0)</f>
        <v>3097.74</v>
      </c>
      <c r="F574" s="1">
        <f t="shared" si="34"/>
        <v>-5.6494636219482919E-3</v>
      </c>
      <c r="G574" s="1" t="str">
        <f t="shared" ca="1" si="35"/>
        <v>=E574/E573-1</v>
      </c>
    </row>
    <row r="575" spans="1:7">
      <c r="A575" s="14">
        <v>44004</v>
      </c>
      <c r="B575" s="11">
        <f>VLOOKUP(A575,[1]HD_price_daily!$A$8:$B$1768,2,0)</f>
        <v>249.16</v>
      </c>
      <c r="C575">
        <f t="shared" si="32"/>
        <v>1.0176363267788258E-2</v>
      </c>
      <c r="D575" s="1" t="str">
        <f t="shared" ca="1" si="33"/>
        <v>=B575/B574-1</v>
      </c>
      <c r="E575" s="8">
        <f>VLOOKUP(A575,'[1]S&amp;P500_DAILY'!$A$8:$B$1768,2,0)</f>
        <v>3117.86</v>
      </c>
      <c r="F575" s="1">
        <f t="shared" si="34"/>
        <v>6.4950576872171428E-3</v>
      </c>
      <c r="G575" s="1" t="str">
        <f t="shared" ca="1" si="35"/>
        <v>=E575/E574-1</v>
      </c>
    </row>
    <row r="576" spans="1:7">
      <c r="A576" s="14">
        <v>44005</v>
      </c>
      <c r="B576" s="11">
        <f>VLOOKUP(A576,[1]HD_price_daily!$A$8:$B$1768,2,0)</f>
        <v>250.31</v>
      </c>
      <c r="C576">
        <f t="shared" si="32"/>
        <v>4.6155081072403181E-3</v>
      </c>
      <c r="D576" s="1" t="str">
        <f t="shared" ca="1" si="33"/>
        <v>=B576/B575-1</v>
      </c>
      <c r="E576" s="8">
        <f>VLOOKUP(A576,'[1]S&amp;P500_DAILY'!$A$8:$B$1768,2,0)</f>
        <v>3131.29</v>
      </c>
      <c r="F576" s="1">
        <f t="shared" si="34"/>
        <v>4.3074416426651663E-3</v>
      </c>
      <c r="G576" s="1" t="str">
        <f t="shared" ca="1" si="35"/>
        <v>=E576/E575-1</v>
      </c>
    </row>
    <row r="577" spans="1:7">
      <c r="A577" s="14">
        <v>44006</v>
      </c>
      <c r="B577" s="11">
        <f>VLOOKUP(A577,[1]HD_price_daily!$A$8:$B$1768,2,0)</f>
        <v>246.13</v>
      </c>
      <c r="C577">
        <f t="shared" si="32"/>
        <v>-1.6699292876832805E-2</v>
      </c>
      <c r="D577" s="1" t="str">
        <f t="shared" ca="1" si="33"/>
        <v>=B577/B576-1</v>
      </c>
      <c r="E577" s="8">
        <f>VLOOKUP(A577,'[1]S&amp;P500_DAILY'!$A$8:$B$1768,2,0)</f>
        <v>3050.33</v>
      </c>
      <c r="F577" s="1">
        <f t="shared" si="34"/>
        <v>-2.5855158736495243E-2</v>
      </c>
      <c r="G577" s="1" t="str">
        <f t="shared" ca="1" si="35"/>
        <v>=E577/E576-1</v>
      </c>
    </row>
    <row r="578" spans="1:7">
      <c r="A578" s="14">
        <v>44007</v>
      </c>
      <c r="B578" s="11">
        <f>VLOOKUP(A578,[1]HD_price_daily!$A$8:$B$1768,2,0)</f>
        <v>245.38</v>
      </c>
      <c r="C578">
        <f t="shared" si="32"/>
        <v>-3.0471701946126473E-3</v>
      </c>
      <c r="D578" s="1" t="str">
        <f t="shared" ca="1" si="33"/>
        <v>=B578/B577-1</v>
      </c>
      <c r="E578" s="8">
        <f>VLOOKUP(A578,'[1]S&amp;P500_DAILY'!$A$8:$B$1768,2,0)</f>
        <v>3083.76</v>
      </c>
      <c r="F578" s="1">
        <f t="shared" si="34"/>
        <v>1.0959469958988111E-2</v>
      </c>
      <c r="G578" s="1" t="str">
        <f t="shared" ca="1" si="35"/>
        <v>=E578/E577-1</v>
      </c>
    </row>
    <row r="579" spans="1:7">
      <c r="A579" s="14">
        <v>44008</v>
      </c>
      <c r="B579" s="11">
        <f>VLOOKUP(A579,[1]HD_price_daily!$A$8:$B$1768,2,0)</f>
        <v>241.01</v>
      </c>
      <c r="C579">
        <f t="shared" si="32"/>
        <v>-1.780911239709837E-2</v>
      </c>
      <c r="D579" s="1" t="str">
        <f t="shared" ca="1" si="33"/>
        <v>=B579/B578-1</v>
      </c>
      <c r="E579" s="8">
        <f>VLOOKUP(A579,'[1]S&amp;P500_DAILY'!$A$8:$B$1768,2,0)</f>
        <v>3009.05</v>
      </c>
      <c r="F579" s="1">
        <f t="shared" si="34"/>
        <v>-2.4226917788673585E-2</v>
      </c>
      <c r="G579" s="1" t="str">
        <f t="shared" ca="1" si="35"/>
        <v>=E579/E578-1</v>
      </c>
    </row>
    <row r="580" spans="1:7">
      <c r="A580" s="14">
        <v>44011</v>
      </c>
      <c r="B580" s="11">
        <f>VLOOKUP(A580,[1]HD_price_daily!$A$8:$B$1768,2,0)</f>
        <v>246.12</v>
      </c>
      <c r="C580">
        <f t="shared" ref="C580:C643" si="36">B580/B579-1</f>
        <v>2.1202439732791234E-2</v>
      </c>
      <c r="D580" s="1" t="str">
        <f t="shared" ref="D580:D643" ca="1" si="37">_xlfn.FORMULATEXT(C580)</f>
        <v>=B580/B579-1</v>
      </c>
      <c r="E580" s="8">
        <f>VLOOKUP(A580,'[1]S&amp;P500_DAILY'!$A$8:$B$1768,2,0)</f>
        <v>3053.24</v>
      </c>
      <c r="F580" s="1">
        <f t="shared" ref="F580:F643" si="38">E580/E579-1</f>
        <v>1.468569814393228E-2</v>
      </c>
      <c r="G580" s="1" t="str">
        <f t="shared" ref="G580:G643" ca="1" si="39">_xlfn.FORMULATEXT(F580)</f>
        <v>=E580/E579-1</v>
      </c>
    </row>
    <row r="581" spans="1:7">
      <c r="A581" s="14">
        <v>44012</v>
      </c>
      <c r="B581" s="11">
        <f>VLOOKUP(A581,[1]HD_price_daily!$A$8:$B$1768,2,0)</f>
        <v>250.51</v>
      </c>
      <c r="C581">
        <f t="shared" si="36"/>
        <v>1.7836827563789903E-2</v>
      </c>
      <c r="D581" s="1" t="str">
        <f t="shared" ca="1" si="37"/>
        <v>=B581/B580-1</v>
      </c>
      <c r="E581" s="8">
        <f>VLOOKUP(A581,'[1]S&amp;P500_DAILY'!$A$8:$B$1768,2,0)</f>
        <v>3100.29</v>
      </c>
      <c r="F581" s="1">
        <f t="shared" si="38"/>
        <v>1.5409859690034278E-2</v>
      </c>
      <c r="G581" s="1" t="str">
        <f t="shared" ca="1" si="39"/>
        <v>=E581/E580-1</v>
      </c>
    </row>
    <row r="582" spans="1:7">
      <c r="A582" s="14">
        <v>44013</v>
      </c>
      <c r="B582" s="11">
        <f>VLOOKUP(A582,[1]HD_price_daily!$A$8:$B$1768,2,0)</f>
        <v>248.15</v>
      </c>
      <c r="C582">
        <f t="shared" si="36"/>
        <v>-9.4207816055246196E-3</v>
      </c>
      <c r="D582" s="1" t="str">
        <f t="shared" ca="1" si="37"/>
        <v>=B582/B581-1</v>
      </c>
      <c r="E582" s="8">
        <f>VLOOKUP(A582,'[1]S&amp;P500_DAILY'!$A$8:$B$1768,2,0)</f>
        <v>3115.86</v>
      </c>
      <c r="F582" s="1">
        <f t="shared" si="38"/>
        <v>5.022110834792981E-3</v>
      </c>
      <c r="G582" s="1" t="str">
        <f t="shared" ca="1" si="39"/>
        <v>=E582/E581-1</v>
      </c>
    </row>
    <row r="583" spans="1:7">
      <c r="A583" s="14">
        <v>44014</v>
      </c>
      <c r="B583" s="11">
        <f>VLOOKUP(A583,[1]HD_price_daily!$A$8:$B$1768,2,0)</f>
        <v>248.5</v>
      </c>
      <c r="C583">
        <f t="shared" si="36"/>
        <v>1.4104372355430161E-3</v>
      </c>
      <c r="D583" s="1" t="str">
        <f t="shared" ca="1" si="37"/>
        <v>=B583/B582-1</v>
      </c>
      <c r="E583" s="8">
        <f>VLOOKUP(A583,'[1]S&amp;P500_DAILY'!$A$8:$B$1768,2,0)</f>
        <v>3130.01</v>
      </c>
      <c r="F583" s="1">
        <f t="shared" si="38"/>
        <v>4.5412823425956539E-3</v>
      </c>
      <c r="G583" s="1" t="str">
        <f t="shared" ca="1" si="39"/>
        <v>=E583/E582-1</v>
      </c>
    </row>
    <row r="584" spans="1:7">
      <c r="A584" s="14">
        <v>44018</v>
      </c>
      <c r="B584" s="11">
        <f>VLOOKUP(A584,[1]HD_price_daily!$A$8:$B$1768,2,0)</f>
        <v>249.55</v>
      </c>
      <c r="C584">
        <f t="shared" si="36"/>
        <v>4.2253521126760507E-3</v>
      </c>
      <c r="D584" s="1" t="str">
        <f t="shared" ca="1" si="37"/>
        <v>=B584/B583-1</v>
      </c>
      <c r="E584" s="8">
        <f>VLOOKUP(A584,'[1]S&amp;P500_DAILY'!$A$8:$B$1768,2,0)</f>
        <v>3179.72</v>
      </c>
      <c r="F584" s="1">
        <f t="shared" si="38"/>
        <v>1.5881738397001799E-2</v>
      </c>
      <c r="G584" s="1" t="str">
        <f t="shared" ca="1" si="39"/>
        <v>=E584/E583-1</v>
      </c>
    </row>
    <row r="585" spans="1:7">
      <c r="A585" s="14">
        <v>44019</v>
      </c>
      <c r="B585" s="11">
        <f>VLOOKUP(A585,[1]HD_price_daily!$A$8:$B$1768,2,0)</f>
        <v>247.35</v>
      </c>
      <c r="C585">
        <f t="shared" si="36"/>
        <v>-8.8158685634142087E-3</v>
      </c>
      <c r="D585" s="1" t="str">
        <f t="shared" ca="1" si="37"/>
        <v>=B585/B584-1</v>
      </c>
      <c r="E585" s="8">
        <f>VLOOKUP(A585,'[1]S&amp;P500_DAILY'!$A$8:$B$1768,2,0)</f>
        <v>3145.32</v>
      </c>
      <c r="F585" s="1">
        <f t="shared" si="38"/>
        <v>-1.0818562640735552E-2</v>
      </c>
      <c r="G585" s="1" t="str">
        <f t="shared" ca="1" si="39"/>
        <v>=E585/E584-1</v>
      </c>
    </row>
    <row r="586" spans="1:7">
      <c r="A586" s="14">
        <v>44020</v>
      </c>
      <c r="B586" s="11">
        <f>VLOOKUP(A586,[1]HD_price_daily!$A$8:$B$1768,2,0)</f>
        <v>249.17</v>
      </c>
      <c r="C586">
        <f t="shared" si="36"/>
        <v>7.3579947442894422E-3</v>
      </c>
      <c r="D586" s="1" t="str">
        <f t="shared" ca="1" si="37"/>
        <v>=B586/B585-1</v>
      </c>
      <c r="E586" s="8">
        <f>VLOOKUP(A586,'[1]S&amp;P500_DAILY'!$A$8:$B$1768,2,0)</f>
        <v>3169.94</v>
      </c>
      <c r="F586" s="1">
        <f t="shared" si="38"/>
        <v>7.8275024480816136E-3</v>
      </c>
      <c r="G586" s="1" t="str">
        <f t="shared" ca="1" si="39"/>
        <v>=E586/E585-1</v>
      </c>
    </row>
    <row r="587" spans="1:7">
      <c r="A587" s="14">
        <v>44021</v>
      </c>
      <c r="B587" s="11">
        <f>VLOOKUP(A587,[1]HD_price_daily!$A$8:$B$1768,2,0)</f>
        <v>247.96</v>
      </c>
      <c r="C587">
        <f t="shared" si="36"/>
        <v>-4.8561223261226472E-3</v>
      </c>
      <c r="D587" s="1" t="str">
        <f t="shared" ca="1" si="37"/>
        <v>=B587/B586-1</v>
      </c>
      <c r="E587" s="8">
        <f>VLOOKUP(A587,'[1]S&amp;P500_DAILY'!$A$8:$B$1768,2,0)</f>
        <v>3152.05</v>
      </c>
      <c r="F587" s="1">
        <f t="shared" si="38"/>
        <v>-5.6436399427117756E-3</v>
      </c>
      <c r="G587" s="1" t="str">
        <f t="shared" ca="1" si="39"/>
        <v>=E587/E586-1</v>
      </c>
    </row>
    <row r="588" spans="1:7">
      <c r="A588" s="14">
        <v>44022</v>
      </c>
      <c r="B588" s="11">
        <f>VLOOKUP(A588,[1]HD_price_daily!$A$8:$B$1768,2,0)</f>
        <v>250.11</v>
      </c>
      <c r="C588">
        <f t="shared" si="36"/>
        <v>8.6707533473140419E-3</v>
      </c>
      <c r="D588" s="1" t="str">
        <f t="shared" ca="1" si="37"/>
        <v>=B588/B587-1</v>
      </c>
      <c r="E588" s="8">
        <f>VLOOKUP(A588,'[1]S&amp;P500_DAILY'!$A$8:$B$1768,2,0)</f>
        <v>3185.04</v>
      </c>
      <c r="F588" s="1">
        <f t="shared" si="38"/>
        <v>1.046620453355751E-2</v>
      </c>
      <c r="G588" s="1" t="str">
        <f t="shared" ca="1" si="39"/>
        <v>=E588/E587-1</v>
      </c>
    </row>
    <row r="589" spans="1:7">
      <c r="A589" s="14">
        <v>44025</v>
      </c>
      <c r="B589" s="11">
        <f>VLOOKUP(A589,[1]HD_price_daily!$A$8:$B$1768,2,0)</f>
        <v>249.62</v>
      </c>
      <c r="C589">
        <f t="shared" si="36"/>
        <v>-1.9591379792891495E-3</v>
      </c>
      <c r="D589" s="1" t="str">
        <f t="shared" ca="1" si="37"/>
        <v>=B589/B588-1</v>
      </c>
      <c r="E589" s="8">
        <f>VLOOKUP(A589,'[1]S&amp;P500_DAILY'!$A$8:$B$1768,2,0)</f>
        <v>3155.22</v>
      </c>
      <c r="F589" s="1">
        <f t="shared" si="38"/>
        <v>-9.3625197799713789E-3</v>
      </c>
      <c r="G589" s="1" t="str">
        <f t="shared" ca="1" si="39"/>
        <v>=E589/E588-1</v>
      </c>
    </row>
    <row r="590" spans="1:7">
      <c r="A590" s="14">
        <v>44026</v>
      </c>
      <c r="B590" s="11">
        <f>VLOOKUP(A590,[1]HD_price_daily!$A$8:$B$1768,2,0)</f>
        <v>257.79000000000002</v>
      </c>
      <c r="C590">
        <f t="shared" si="36"/>
        <v>3.2729749218812554E-2</v>
      </c>
      <c r="D590" s="1" t="str">
        <f t="shared" ca="1" si="37"/>
        <v>=B590/B589-1</v>
      </c>
      <c r="E590" s="8">
        <f>VLOOKUP(A590,'[1]S&amp;P500_DAILY'!$A$8:$B$1768,2,0)</f>
        <v>3197.52</v>
      </c>
      <c r="F590" s="1">
        <f t="shared" si="38"/>
        <v>1.3406355182839835E-2</v>
      </c>
      <c r="G590" s="1" t="str">
        <f t="shared" ca="1" si="39"/>
        <v>=E590/E589-1</v>
      </c>
    </row>
    <row r="591" spans="1:7">
      <c r="A591" s="14">
        <v>44027</v>
      </c>
      <c r="B591" s="11">
        <f>VLOOKUP(A591,[1]HD_price_daily!$A$8:$B$1768,2,0)</f>
        <v>257.8</v>
      </c>
      <c r="C591">
        <f t="shared" si="36"/>
        <v>3.8791264207249654E-5</v>
      </c>
      <c r="D591" s="1" t="str">
        <f t="shared" ca="1" si="37"/>
        <v>=B591/B590-1</v>
      </c>
      <c r="E591" s="8">
        <f>VLOOKUP(A591,'[1]S&amp;P500_DAILY'!$A$8:$B$1768,2,0)</f>
        <v>3226.56</v>
      </c>
      <c r="F591" s="1">
        <f t="shared" si="38"/>
        <v>9.0820385798993097E-3</v>
      </c>
      <c r="G591" s="1" t="str">
        <f t="shared" ca="1" si="39"/>
        <v>=E591/E590-1</v>
      </c>
    </row>
    <row r="592" spans="1:7">
      <c r="A592" s="14">
        <v>44028</v>
      </c>
      <c r="B592" s="11">
        <f>VLOOKUP(A592,[1]HD_price_daily!$A$8:$B$1768,2,0)</f>
        <v>258.08</v>
      </c>
      <c r="C592">
        <f t="shared" si="36"/>
        <v>1.0861132660977546E-3</v>
      </c>
      <c r="D592" s="1" t="str">
        <f t="shared" ca="1" si="37"/>
        <v>=B592/B591-1</v>
      </c>
      <c r="E592" s="8">
        <f>VLOOKUP(A592,'[1]S&amp;P500_DAILY'!$A$8:$B$1768,2,0)</f>
        <v>3215.57</v>
      </c>
      <c r="F592" s="1">
        <f t="shared" si="38"/>
        <v>-3.4061043340275488E-3</v>
      </c>
      <c r="G592" s="1" t="str">
        <f t="shared" ca="1" si="39"/>
        <v>=E592/E591-1</v>
      </c>
    </row>
    <row r="593" spans="1:7">
      <c r="A593" s="14">
        <v>44029</v>
      </c>
      <c r="B593" s="11">
        <f>VLOOKUP(A593,[1]HD_price_daily!$A$8:$B$1768,2,0)</f>
        <v>260.38</v>
      </c>
      <c r="C593">
        <f t="shared" si="36"/>
        <v>8.9119652820830453E-3</v>
      </c>
      <c r="D593" s="1" t="str">
        <f t="shared" ca="1" si="37"/>
        <v>=B593/B592-1</v>
      </c>
      <c r="E593" s="8">
        <f>VLOOKUP(A593,'[1]S&amp;P500_DAILY'!$A$8:$B$1768,2,0)</f>
        <v>3224.73</v>
      </c>
      <c r="F593" s="1">
        <f t="shared" si="38"/>
        <v>2.8486395880045201E-3</v>
      </c>
      <c r="G593" s="1" t="str">
        <f t="shared" ca="1" si="39"/>
        <v>=E593/E592-1</v>
      </c>
    </row>
    <row r="594" spans="1:7">
      <c r="A594" s="14">
        <v>44032</v>
      </c>
      <c r="B594" s="11">
        <f>VLOOKUP(A594,[1]HD_price_daily!$A$8:$B$1768,2,0)</f>
        <v>260.17</v>
      </c>
      <c r="C594">
        <f t="shared" si="36"/>
        <v>-8.0651355710881223E-4</v>
      </c>
      <c r="D594" s="1" t="str">
        <f t="shared" ca="1" si="37"/>
        <v>=B594/B593-1</v>
      </c>
      <c r="E594" s="8">
        <f>VLOOKUP(A594,'[1]S&amp;P500_DAILY'!$A$8:$B$1768,2,0)</f>
        <v>3251.84</v>
      </c>
      <c r="F594" s="1">
        <f t="shared" si="38"/>
        <v>8.4069053843267572E-3</v>
      </c>
      <c r="G594" s="1" t="str">
        <f t="shared" ca="1" si="39"/>
        <v>=E594/E593-1</v>
      </c>
    </row>
    <row r="595" spans="1:7">
      <c r="A595" s="14">
        <v>44033</v>
      </c>
      <c r="B595" s="11">
        <f>VLOOKUP(A595,[1]HD_price_daily!$A$8:$B$1768,2,0)</f>
        <v>262.42</v>
      </c>
      <c r="C595">
        <f t="shared" si="36"/>
        <v>8.6481915670522103E-3</v>
      </c>
      <c r="D595" s="1" t="str">
        <f t="shared" ca="1" si="37"/>
        <v>=B595/B594-1</v>
      </c>
      <c r="E595" s="8">
        <f>VLOOKUP(A595,'[1]S&amp;P500_DAILY'!$A$8:$B$1768,2,0)</f>
        <v>3257.3</v>
      </c>
      <c r="F595" s="1">
        <f t="shared" si="38"/>
        <v>1.6790493997245193E-3</v>
      </c>
      <c r="G595" s="1" t="str">
        <f t="shared" ca="1" si="39"/>
        <v>=E595/E594-1</v>
      </c>
    </row>
    <row r="596" spans="1:7">
      <c r="A596" s="14">
        <v>44034</v>
      </c>
      <c r="B596" s="11">
        <f>VLOOKUP(A596,[1]HD_price_daily!$A$8:$B$1768,2,0)</f>
        <v>265.17</v>
      </c>
      <c r="C596">
        <f t="shared" si="36"/>
        <v>1.0479384193277985E-2</v>
      </c>
      <c r="D596" s="1" t="str">
        <f t="shared" ca="1" si="37"/>
        <v>=B596/B595-1</v>
      </c>
      <c r="E596" s="8">
        <f>VLOOKUP(A596,'[1]S&amp;P500_DAILY'!$A$8:$B$1768,2,0)</f>
        <v>3276.02</v>
      </c>
      <c r="F596" s="1">
        <f t="shared" si="38"/>
        <v>5.7470911491110943E-3</v>
      </c>
      <c r="G596" s="1" t="str">
        <f t="shared" ca="1" si="39"/>
        <v>=E596/E595-1</v>
      </c>
    </row>
    <row r="597" spans="1:7">
      <c r="A597" s="14">
        <v>44035</v>
      </c>
      <c r="B597" s="11">
        <f>VLOOKUP(A597,[1]HD_price_daily!$A$8:$B$1768,2,0)</f>
        <v>263.81</v>
      </c>
      <c r="C597">
        <f t="shared" si="36"/>
        <v>-5.1287853075385748E-3</v>
      </c>
      <c r="D597" s="1" t="str">
        <f t="shared" ca="1" si="37"/>
        <v>=B597/B596-1</v>
      </c>
      <c r="E597" s="8">
        <f>VLOOKUP(A597,'[1]S&amp;P500_DAILY'!$A$8:$B$1768,2,0)</f>
        <v>3235.66</v>
      </c>
      <c r="F597" s="1">
        <f t="shared" si="38"/>
        <v>-1.2319827107282633E-2</v>
      </c>
      <c r="G597" s="1" t="str">
        <f t="shared" ca="1" si="39"/>
        <v>=E597/E596-1</v>
      </c>
    </row>
    <row r="598" spans="1:7">
      <c r="A598" s="14">
        <v>44036</v>
      </c>
      <c r="B598" s="11">
        <f>VLOOKUP(A598,[1]HD_price_daily!$A$8:$B$1768,2,0)</f>
        <v>265.31</v>
      </c>
      <c r="C598">
        <f t="shared" si="36"/>
        <v>5.6859103142412604E-3</v>
      </c>
      <c r="D598" s="1" t="str">
        <f t="shared" ca="1" si="37"/>
        <v>=B598/B597-1</v>
      </c>
      <c r="E598" s="8">
        <f>VLOOKUP(A598,'[1]S&amp;P500_DAILY'!$A$8:$B$1768,2,0)</f>
        <v>3215.63</v>
      </c>
      <c r="F598" s="1">
        <f t="shared" si="38"/>
        <v>-6.1903908321639944E-3</v>
      </c>
      <c r="G598" s="1" t="str">
        <f t="shared" ca="1" si="39"/>
        <v>=E598/E597-1</v>
      </c>
    </row>
    <row r="599" spans="1:7">
      <c r="A599" s="14">
        <v>44039</v>
      </c>
      <c r="B599" s="11">
        <f>VLOOKUP(A599,[1]HD_price_daily!$A$8:$B$1768,2,0)</f>
        <v>267.42</v>
      </c>
      <c r="C599">
        <f t="shared" si="36"/>
        <v>7.9529606874977343E-3</v>
      </c>
      <c r="D599" s="1" t="str">
        <f t="shared" ca="1" si="37"/>
        <v>=B599/B598-1</v>
      </c>
      <c r="E599" s="8">
        <f>VLOOKUP(A599,'[1]S&amp;P500_DAILY'!$A$8:$B$1768,2,0)</f>
        <v>3239.41</v>
      </c>
      <c r="F599" s="1">
        <f t="shared" si="38"/>
        <v>7.3951294147647229E-3</v>
      </c>
      <c r="G599" s="1" t="str">
        <f t="shared" ca="1" si="39"/>
        <v>=E599/E598-1</v>
      </c>
    </row>
    <row r="600" spans="1:7">
      <c r="A600" s="14">
        <v>44040</v>
      </c>
      <c r="B600" s="11">
        <f>VLOOKUP(A600,[1]HD_price_daily!$A$8:$B$1768,2,0)</f>
        <v>265.27999999999997</v>
      </c>
      <c r="C600">
        <f t="shared" si="36"/>
        <v>-8.002393239099681E-3</v>
      </c>
      <c r="D600" s="1" t="str">
        <f t="shared" ca="1" si="37"/>
        <v>=B600/B599-1</v>
      </c>
      <c r="E600" s="8">
        <f>VLOOKUP(A600,'[1]S&amp;P500_DAILY'!$A$8:$B$1768,2,0)</f>
        <v>3218.44</v>
      </c>
      <c r="F600" s="1">
        <f t="shared" si="38"/>
        <v>-6.4734010205561576E-3</v>
      </c>
      <c r="G600" s="1" t="str">
        <f t="shared" ca="1" si="39"/>
        <v>=E600/E599-1</v>
      </c>
    </row>
    <row r="601" spans="1:7">
      <c r="A601" s="14">
        <v>44041</v>
      </c>
      <c r="B601" s="11">
        <f>VLOOKUP(A601,[1]HD_price_daily!$A$8:$B$1768,2,0)</f>
        <v>264.66000000000003</v>
      </c>
      <c r="C601">
        <f t="shared" si="36"/>
        <v>-2.3371531966221992E-3</v>
      </c>
      <c r="D601" s="1" t="str">
        <f t="shared" ca="1" si="37"/>
        <v>=B601/B600-1</v>
      </c>
      <c r="E601" s="8">
        <f>VLOOKUP(A601,'[1]S&amp;P500_DAILY'!$A$8:$B$1768,2,0)</f>
        <v>3258.44</v>
      </c>
      <c r="F601" s="1">
        <f t="shared" si="38"/>
        <v>1.2428381451883519E-2</v>
      </c>
      <c r="G601" s="1" t="str">
        <f t="shared" ca="1" si="39"/>
        <v>=E601/E600-1</v>
      </c>
    </row>
    <row r="602" spans="1:7">
      <c r="A602" s="14">
        <v>44042</v>
      </c>
      <c r="B602" s="11">
        <f>VLOOKUP(A602,[1]HD_price_daily!$A$8:$B$1768,2,0)</f>
        <v>266.31</v>
      </c>
      <c r="C602">
        <f t="shared" si="36"/>
        <v>6.2344139650871711E-3</v>
      </c>
      <c r="D602" s="1" t="str">
        <f t="shared" ca="1" si="37"/>
        <v>=B602/B601-1</v>
      </c>
      <c r="E602" s="8">
        <f>VLOOKUP(A602,'[1]S&amp;P500_DAILY'!$A$8:$B$1768,2,0)</f>
        <v>3246.22</v>
      </c>
      <c r="F602" s="1">
        <f t="shared" si="38"/>
        <v>-3.7502608610255894E-3</v>
      </c>
      <c r="G602" s="1" t="str">
        <f t="shared" ca="1" si="39"/>
        <v>=E602/E601-1</v>
      </c>
    </row>
    <row r="603" spans="1:7">
      <c r="A603" s="14">
        <v>44043</v>
      </c>
      <c r="B603" s="11">
        <f>VLOOKUP(A603,[1]HD_price_daily!$A$8:$B$1768,2,0)</f>
        <v>265.49</v>
      </c>
      <c r="C603">
        <f t="shared" si="36"/>
        <v>-3.0791183207540263E-3</v>
      </c>
      <c r="D603" s="1" t="str">
        <f t="shared" ca="1" si="37"/>
        <v>=B603/B602-1</v>
      </c>
      <c r="E603" s="8">
        <f>VLOOKUP(A603,'[1]S&amp;P500_DAILY'!$A$8:$B$1768,2,0)</f>
        <v>3271.12</v>
      </c>
      <c r="F603" s="1">
        <f t="shared" si="38"/>
        <v>7.6704597963170862E-3</v>
      </c>
      <c r="G603" s="1" t="str">
        <f t="shared" ca="1" si="39"/>
        <v>=E603/E602-1</v>
      </c>
    </row>
    <row r="604" spans="1:7">
      <c r="A604" s="14">
        <v>44046</v>
      </c>
      <c r="B604" s="11">
        <f>VLOOKUP(A604,[1]HD_price_daily!$A$8:$B$1768,2,0)</f>
        <v>266.18</v>
      </c>
      <c r="C604">
        <f t="shared" si="36"/>
        <v>2.5989679460620696E-3</v>
      </c>
      <c r="D604" s="1" t="str">
        <f t="shared" ca="1" si="37"/>
        <v>=B604/B603-1</v>
      </c>
      <c r="E604" s="8">
        <f>VLOOKUP(A604,'[1]S&amp;P500_DAILY'!$A$8:$B$1768,2,0)</f>
        <v>3294.61</v>
      </c>
      <c r="F604" s="1">
        <f t="shared" si="38"/>
        <v>7.1810266819927193E-3</v>
      </c>
      <c r="G604" s="1" t="str">
        <f t="shared" ca="1" si="39"/>
        <v>=E604/E603-1</v>
      </c>
    </row>
    <row r="605" spans="1:7">
      <c r="A605" s="14">
        <v>44047</v>
      </c>
      <c r="B605" s="11">
        <f>VLOOKUP(A605,[1]HD_price_daily!$A$8:$B$1768,2,0)</f>
        <v>267.87</v>
      </c>
      <c r="C605">
        <f t="shared" si="36"/>
        <v>6.3490870839282287E-3</v>
      </c>
      <c r="D605" s="1" t="str">
        <f t="shared" ca="1" si="37"/>
        <v>=B605/B604-1</v>
      </c>
      <c r="E605" s="8">
        <f>VLOOKUP(A605,'[1]S&amp;P500_DAILY'!$A$8:$B$1768,2,0)</f>
        <v>3306.51</v>
      </c>
      <c r="F605" s="1">
        <f t="shared" si="38"/>
        <v>3.6119601409574376E-3</v>
      </c>
      <c r="G605" s="1" t="str">
        <f t="shared" ca="1" si="39"/>
        <v>=E605/E604-1</v>
      </c>
    </row>
    <row r="606" spans="1:7">
      <c r="A606" s="14">
        <v>44048</v>
      </c>
      <c r="B606" s="11">
        <f>VLOOKUP(A606,[1]HD_price_daily!$A$8:$B$1768,2,0)</f>
        <v>267.48</v>
      </c>
      <c r="C606">
        <f t="shared" si="36"/>
        <v>-1.4559301153543869E-3</v>
      </c>
      <c r="D606" s="1" t="str">
        <f t="shared" ca="1" si="37"/>
        <v>=B606/B605-1</v>
      </c>
      <c r="E606" s="8">
        <f>VLOOKUP(A606,'[1]S&amp;P500_DAILY'!$A$8:$B$1768,2,0)</f>
        <v>3327.77</v>
      </c>
      <c r="F606" s="1">
        <f t="shared" si="38"/>
        <v>6.4297401187354275E-3</v>
      </c>
      <c r="G606" s="1" t="str">
        <f t="shared" ca="1" si="39"/>
        <v>=E606/E605-1</v>
      </c>
    </row>
    <row r="607" spans="1:7">
      <c r="A607" s="14">
        <v>44049</v>
      </c>
      <c r="B607" s="11">
        <f>VLOOKUP(A607,[1]HD_price_daily!$A$8:$B$1768,2,0)</f>
        <v>269.37</v>
      </c>
      <c r="C607">
        <f t="shared" si="36"/>
        <v>7.0659488559892125E-3</v>
      </c>
      <c r="D607" s="1" t="str">
        <f t="shared" ca="1" si="37"/>
        <v>=B607/B606-1</v>
      </c>
      <c r="E607" s="8">
        <f>VLOOKUP(A607,'[1]S&amp;P500_DAILY'!$A$8:$B$1768,2,0)</f>
        <v>3349.16</v>
      </c>
      <c r="F607" s="1">
        <f t="shared" si="38"/>
        <v>6.4277278778279712E-3</v>
      </c>
      <c r="G607" s="1" t="str">
        <f t="shared" ca="1" si="39"/>
        <v>=E607/E606-1</v>
      </c>
    </row>
    <row r="608" spans="1:7">
      <c r="A608" s="14">
        <v>44050</v>
      </c>
      <c r="B608" s="11">
        <f>VLOOKUP(A608,[1]HD_price_daily!$A$8:$B$1768,2,0)</f>
        <v>271.64</v>
      </c>
      <c r="C608">
        <f t="shared" si="36"/>
        <v>8.427070572075479E-3</v>
      </c>
      <c r="D608" s="1" t="str">
        <f t="shared" ca="1" si="37"/>
        <v>=B608/B607-1</v>
      </c>
      <c r="E608" s="8">
        <f>VLOOKUP(A608,'[1]S&amp;P500_DAILY'!$A$8:$B$1768,2,0)</f>
        <v>3351.28</v>
      </c>
      <c r="F608" s="1">
        <f t="shared" si="38"/>
        <v>6.329945419150107E-4</v>
      </c>
      <c r="G608" s="1" t="str">
        <f t="shared" ca="1" si="39"/>
        <v>=E608/E607-1</v>
      </c>
    </row>
    <row r="609" spans="1:7">
      <c r="A609" s="14">
        <v>44053</v>
      </c>
      <c r="B609" s="11">
        <f>VLOOKUP(A609,[1]HD_price_daily!$A$8:$B$1768,2,0)</f>
        <v>274.73</v>
      </c>
      <c r="C609">
        <f t="shared" si="36"/>
        <v>1.1375349727580808E-2</v>
      </c>
      <c r="D609" s="1" t="str">
        <f t="shared" ca="1" si="37"/>
        <v>=B609/B608-1</v>
      </c>
      <c r="E609" s="8">
        <f>VLOOKUP(A609,'[1]S&amp;P500_DAILY'!$A$8:$B$1768,2,0)</f>
        <v>3360.47</v>
      </c>
      <c r="F609" s="1">
        <f t="shared" si="38"/>
        <v>2.7422358024395965E-3</v>
      </c>
      <c r="G609" s="1" t="str">
        <f t="shared" ca="1" si="39"/>
        <v>=E609/E608-1</v>
      </c>
    </row>
    <row r="610" spans="1:7">
      <c r="A610" s="14">
        <v>44054</v>
      </c>
      <c r="B610" s="11">
        <f>VLOOKUP(A610,[1]HD_price_daily!$A$8:$B$1768,2,0)</f>
        <v>274.92</v>
      </c>
      <c r="C610">
        <f t="shared" si="36"/>
        <v>6.9158810468450405E-4</v>
      </c>
      <c r="D610" s="1" t="str">
        <f t="shared" ca="1" si="37"/>
        <v>=B610/B609-1</v>
      </c>
      <c r="E610" s="8">
        <f>VLOOKUP(A610,'[1]S&amp;P500_DAILY'!$A$8:$B$1768,2,0)</f>
        <v>3333.69</v>
      </c>
      <c r="F610" s="1">
        <f t="shared" si="38"/>
        <v>-7.9691233666718819E-3</v>
      </c>
      <c r="G610" s="1" t="str">
        <f t="shared" ca="1" si="39"/>
        <v>=E610/E609-1</v>
      </c>
    </row>
    <row r="611" spans="1:7">
      <c r="A611" s="14">
        <v>44055</v>
      </c>
      <c r="B611" s="11">
        <f>VLOOKUP(A611,[1]HD_price_daily!$A$8:$B$1768,2,0)</f>
        <v>281.58</v>
      </c>
      <c r="C611">
        <f t="shared" si="36"/>
        <v>2.422522915757308E-2</v>
      </c>
      <c r="D611" s="1" t="str">
        <f t="shared" ca="1" si="37"/>
        <v>=B611/B610-1</v>
      </c>
      <c r="E611" s="8">
        <f>VLOOKUP(A611,'[1]S&amp;P500_DAILY'!$A$8:$B$1768,2,0)</f>
        <v>3380.35</v>
      </c>
      <c r="F611" s="1">
        <f t="shared" si="38"/>
        <v>1.3996502374245878E-2</v>
      </c>
      <c r="G611" s="1" t="str">
        <f t="shared" ca="1" si="39"/>
        <v>=E611/E610-1</v>
      </c>
    </row>
    <row r="612" spans="1:7">
      <c r="A612" s="14">
        <v>44056</v>
      </c>
      <c r="B612" s="11">
        <f>VLOOKUP(A612,[1]HD_price_daily!$A$8:$B$1768,2,0)</f>
        <v>281.66000000000003</v>
      </c>
      <c r="C612">
        <f t="shared" si="36"/>
        <v>2.8411108743542357E-4</v>
      </c>
      <c r="D612" s="1" t="str">
        <f t="shared" ca="1" si="37"/>
        <v>=B612/B611-1</v>
      </c>
      <c r="E612" s="8">
        <f>VLOOKUP(A612,'[1]S&amp;P500_DAILY'!$A$8:$B$1768,2,0)</f>
        <v>3373.43</v>
      </c>
      <c r="F612" s="1">
        <f t="shared" si="38"/>
        <v>-2.0471252976762555E-3</v>
      </c>
      <c r="G612" s="1" t="str">
        <f t="shared" ca="1" si="39"/>
        <v>=E612/E611-1</v>
      </c>
    </row>
    <row r="613" spans="1:7">
      <c r="A613" s="14">
        <v>44057</v>
      </c>
      <c r="B613" s="11">
        <f>VLOOKUP(A613,[1]HD_price_daily!$A$8:$B$1768,2,0)</f>
        <v>280.55</v>
      </c>
      <c r="C613">
        <f t="shared" si="36"/>
        <v>-3.9409216786197021E-3</v>
      </c>
      <c r="D613" s="1" t="str">
        <f t="shared" ca="1" si="37"/>
        <v>=B613/B612-1</v>
      </c>
      <c r="E613" s="8">
        <f>VLOOKUP(A613,'[1]S&amp;P500_DAILY'!$A$8:$B$1768,2,0)</f>
        <v>3372.85</v>
      </c>
      <c r="F613" s="1">
        <f t="shared" si="38"/>
        <v>-1.7193183199293305E-4</v>
      </c>
      <c r="G613" s="1" t="str">
        <f t="shared" ca="1" si="39"/>
        <v>=E613/E612-1</v>
      </c>
    </row>
    <row r="614" spans="1:7">
      <c r="A614" s="14">
        <v>44060</v>
      </c>
      <c r="B614" s="11">
        <f>VLOOKUP(A614,[1]HD_price_daily!$A$8:$B$1768,2,0)</f>
        <v>288.24</v>
      </c>
      <c r="C614">
        <f t="shared" si="36"/>
        <v>2.7410443771163751E-2</v>
      </c>
      <c r="D614" s="1" t="str">
        <f t="shared" ca="1" si="37"/>
        <v>=B614/B613-1</v>
      </c>
      <c r="E614" s="8">
        <f>VLOOKUP(A614,'[1]S&amp;P500_DAILY'!$A$8:$B$1768,2,0)</f>
        <v>3381.99</v>
      </c>
      <c r="F614" s="1">
        <f t="shared" si="38"/>
        <v>2.7098744385312123E-3</v>
      </c>
      <c r="G614" s="1" t="str">
        <f t="shared" ca="1" si="39"/>
        <v>=E614/E613-1</v>
      </c>
    </row>
    <row r="615" spans="1:7">
      <c r="A615" s="14">
        <v>44061</v>
      </c>
      <c r="B615" s="11">
        <f>VLOOKUP(A615,[1]HD_price_daily!$A$8:$B$1768,2,0)</f>
        <v>285</v>
      </c>
      <c r="C615">
        <f t="shared" si="36"/>
        <v>-1.1240632805995077E-2</v>
      </c>
      <c r="D615" s="1" t="str">
        <f t="shared" ca="1" si="37"/>
        <v>=B615/B614-1</v>
      </c>
      <c r="E615" s="8">
        <f>VLOOKUP(A615,'[1]S&amp;P500_DAILY'!$A$8:$B$1768,2,0)</f>
        <v>3389.78</v>
      </c>
      <c r="F615" s="1">
        <f t="shared" si="38"/>
        <v>2.3033775972136628E-3</v>
      </c>
      <c r="G615" s="1" t="str">
        <f t="shared" ca="1" si="39"/>
        <v>=E615/E614-1</v>
      </c>
    </row>
    <row r="616" spans="1:7">
      <c r="A616" s="14">
        <v>44062</v>
      </c>
      <c r="B616" s="11">
        <f>VLOOKUP(A616,[1]HD_price_daily!$A$8:$B$1768,2,0)</f>
        <v>282.86</v>
      </c>
      <c r="C616">
        <f t="shared" si="36"/>
        <v>-7.5087719298244648E-3</v>
      </c>
      <c r="D616" s="1" t="str">
        <f t="shared" ca="1" si="37"/>
        <v>=B616/B615-1</v>
      </c>
      <c r="E616" s="8">
        <f>VLOOKUP(A616,'[1]S&amp;P500_DAILY'!$A$8:$B$1768,2,0)</f>
        <v>3374.85</v>
      </c>
      <c r="F616" s="1">
        <f t="shared" si="38"/>
        <v>-4.4044156257928568E-3</v>
      </c>
      <c r="G616" s="1" t="str">
        <f t="shared" ca="1" si="39"/>
        <v>=E616/E615-1</v>
      </c>
    </row>
    <row r="617" spans="1:7">
      <c r="A617" s="14">
        <v>44063</v>
      </c>
      <c r="B617" s="11">
        <f>VLOOKUP(A617,[1]HD_price_daily!$A$8:$B$1768,2,0)</f>
        <v>280.68</v>
      </c>
      <c r="C617">
        <f t="shared" si="36"/>
        <v>-7.7069928586580572E-3</v>
      </c>
      <c r="D617" s="1" t="str">
        <f t="shared" ca="1" si="37"/>
        <v>=B617/B616-1</v>
      </c>
      <c r="E617" s="8">
        <f>VLOOKUP(A617,'[1]S&amp;P500_DAILY'!$A$8:$B$1768,2,0)</f>
        <v>3385.51</v>
      </c>
      <c r="F617" s="1">
        <f t="shared" si="38"/>
        <v>3.1586589033587575E-3</v>
      </c>
      <c r="G617" s="1" t="str">
        <f t="shared" ca="1" si="39"/>
        <v>=E617/E616-1</v>
      </c>
    </row>
    <row r="618" spans="1:7">
      <c r="A618" s="14">
        <v>44064</v>
      </c>
      <c r="B618" s="11">
        <f>VLOOKUP(A618,[1]HD_price_daily!$A$8:$B$1768,2,0)</f>
        <v>283.23</v>
      </c>
      <c r="C618">
        <f t="shared" si="36"/>
        <v>9.0850790936298775E-3</v>
      </c>
      <c r="D618" s="1" t="str">
        <f t="shared" ca="1" si="37"/>
        <v>=B618/B617-1</v>
      </c>
      <c r="E618" s="8">
        <f>VLOOKUP(A618,'[1]S&amp;P500_DAILY'!$A$8:$B$1768,2,0)</f>
        <v>3397.16</v>
      </c>
      <c r="F618" s="1">
        <f t="shared" si="38"/>
        <v>3.4411358997610275E-3</v>
      </c>
      <c r="G618" s="1" t="str">
        <f t="shared" ca="1" si="39"/>
        <v>=E618/E617-1</v>
      </c>
    </row>
    <row r="619" spans="1:7">
      <c r="A619" s="14">
        <v>44067</v>
      </c>
      <c r="B619" s="11">
        <f>VLOOKUP(A619,[1]HD_price_daily!$A$8:$B$1768,2,0)</f>
        <v>286.75</v>
      </c>
      <c r="C619">
        <f t="shared" si="36"/>
        <v>1.2428061999081974E-2</v>
      </c>
      <c r="D619" s="1" t="str">
        <f t="shared" ca="1" si="37"/>
        <v>=B619/B618-1</v>
      </c>
      <c r="E619" s="8">
        <f>VLOOKUP(A619,'[1]S&amp;P500_DAILY'!$A$8:$B$1768,2,0)</f>
        <v>3431.28</v>
      </c>
      <c r="F619" s="1">
        <f t="shared" si="38"/>
        <v>1.004368354743379E-2</v>
      </c>
      <c r="G619" s="1" t="str">
        <f t="shared" ca="1" si="39"/>
        <v>=E619/E618-1</v>
      </c>
    </row>
    <row r="620" spans="1:7">
      <c r="A620" s="14">
        <v>44068</v>
      </c>
      <c r="B620" s="11">
        <f>VLOOKUP(A620,[1]HD_price_daily!$A$8:$B$1768,2,0)</f>
        <v>286.13</v>
      </c>
      <c r="C620">
        <f t="shared" si="36"/>
        <v>-2.1621621621621401E-3</v>
      </c>
      <c r="D620" s="1" t="str">
        <f t="shared" ca="1" si="37"/>
        <v>=B620/B619-1</v>
      </c>
      <c r="E620" s="8">
        <f>VLOOKUP(A620,'[1]S&amp;P500_DAILY'!$A$8:$B$1768,2,0)</f>
        <v>3443.62</v>
      </c>
      <c r="F620" s="1">
        <f t="shared" si="38"/>
        <v>3.5963255694666518E-3</v>
      </c>
      <c r="G620" s="1" t="str">
        <f t="shared" ca="1" si="39"/>
        <v>=E620/E619-1</v>
      </c>
    </row>
    <row r="621" spans="1:7">
      <c r="A621" s="14">
        <v>44069</v>
      </c>
      <c r="B621" s="11">
        <f>VLOOKUP(A621,[1]HD_price_daily!$A$8:$B$1768,2,0)</f>
        <v>291.93</v>
      </c>
      <c r="C621">
        <f t="shared" si="36"/>
        <v>2.0270506413168965E-2</v>
      </c>
      <c r="D621" s="1" t="str">
        <f t="shared" ca="1" si="37"/>
        <v>=B621/B620-1</v>
      </c>
      <c r="E621" s="8">
        <f>VLOOKUP(A621,'[1]S&amp;P500_DAILY'!$A$8:$B$1768,2,0)</f>
        <v>3478.73</v>
      </c>
      <c r="F621" s="1">
        <f t="shared" si="38"/>
        <v>1.0195666188487662E-2</v>
      </c>
      <c r="G621" s="1" t="str">
        <f t="shared" ca="1" si="39"/>
        <v>=E621/E620-1</v>
      </c>
    </row>
    <row r="622" spans="1:7">
      <c r="A622" s="14">
        <v>44070</v>
      </c>
      <c r="B622" s="11">
        <f>VLOOKUP(A622,[1]HD_price_daily!$A$8:$B$1768,2,0)</f>
        <v>288.63</v>
      </c>
      <c r="C622">
        <f t="shared" si="36"/>
        <v>-1.1304079745144469E-2</v>
      </c>
      <c r="D622" s="1" t="str">
        <f t="shared" ca="1" si="37"/>
        <v>=B622/B621-1</v>
      </c>
      <c r="E622" s="8">
        <f>VLOOKUP(A622,'[1]S&amp;P500_DAILY'!$A$8:$B$1768,2,0)</f>
        <v>3484.55</v>
      </c>
      <c r="F622" s="1">
        <f t="shared" si="38"/>
        <v>1.6730243508407128E-3</v>
      </c>
      <c r="G622" s="1" t="str">
        <f t="shared" ca="1" si="39"/>
        <v>=E622/E621-1</v>
      </c>
    </row>
    <row r="623" spans="1:7">
      <c r="A623" s="14">
        <v>44071</v>
      </c>
      <c r="B623" s="11">
        <f>VLOOKUP(A623,[1]HD_price_daily!$A$8:$B$1768,2,0)</f>
        <v>286.29000000000002</v>
      </c>
      <c r="C623">
        <f t="shared" si="36"/>
        <v>-8.1072653570314346E-3</v>
      </c>
      <c r="D623" s="1" t="str">
        <f t="shared" ca="1" si="37"/>
        <v>=B623/B622-1</v>
      </c>
      <c r="E623" s="8">
        <f>VLOOKUP(A623,'[1]S&amp;P500_DAILY'!$A$8:$B$1768,2,0)</f>
        <v>3508.01</v>
      </c>
      <c r="F623" s="1">
        <f t="shared" si="38"/>
        <v>6.732576659826961E-3</v>
      </c>
      <c r="G623" s="1" t="str">
        <f t="shared" ca="1" si="39"/>
        <v>=E623/E622-1</v>
      </c>
    </row>
    <row r="624" spans="1:7">
      <c r="A624" s="14">
        <v>44074</v>
      </c>
      <c r="B624" s="11">
        <f>VLOOKUP(A624,[1]HD_price_daily!$A$8:$B$1768,2,0)</f>
        <v>285.04000000000002</v>
      </c>
      <c r="C624">
        <f t="shared" si="36"/>
        <v>-4.3662021027629505E-3</v>
      </c>
      <c r="D624" s="1" t="str">
        <f t="shared" ca="1" si="37"/>
        <v>=B624/B623-1</v>
      </c>
      <c r="E624" s="8">
        <f>VLOOKUP(A624,'[1]S&amp;P500_DAILY'!$A$8:$B$1768,2,0)</f>
        <v>3500.31</v>
      </c>
      <c r="F624" s="1">
        <f t="shared" si="38"/>
        <v>-2.1949766391772263E-3</v>
      </c>
      <c r="G624" s="1" t="str">
        <f t="shared" ca="1" si="39"/>
        <v>=E624/E623-1</v>
      </c>
    </row>
    <row r="625" spans="1:7">
      <c r="A625" s="14">
        <v>44075</v>
      </c>
      <c r="B625" s="11">
        <f>VLOOKUP(A625,[1]HD_price_daily!$A$8:$B$1768,2,0)</f>
        <v>285.94</v>
      </c>
      <c r="C625">
        <f t="shared" si="36"/>
        <v>3.1574515857422103E-3</v>
      </c>
      <c r="D625" s="1" t="str">
        <f t="shared" ca="1" si="37"/>
        <v>=B625/B624-1</v>
      </c>
      <c r="E625" s="8">
        <f>VLOOKUP(A625,'[1]S&amp;P500_DAILY'!$A$8:$B$1768,2,0)</f>
        <v>3526.65</v>
      </c>
      <c r="F625" s="1">
        <f t="shared" si="38"/>
        <v>7.5250477814823302E-3</v>
      </c>
      <c r="G625" s="1" t="str">
        <f t="shared" ca="1" si="39"/>
        <v>=E625/E624-1</v>
      </c>
    </row>
    <row r="626" spans="1:7">
      <c r="A626" s="14">
        <v>44076</v>
      </c>
      <c r="B626" s="11">
        <f>VLOOKUP(A626,[1]HD_price_daily!$A$8:$B$1768,2,0)</f>
        <v>287.2</v>
      </c>
      <c r="C626">
        <f t="shared" si="36"/>
        <v>4.406518850108343E-3</v>
      </c>
      <c r="D626" s="1" t="str">
        <f t="shared" ca="1" si="37"/>
        <v>=B626/B625-1</v>
      </c>
      <c r="E626" s="8">
        <f>VLOOKUP(A626,'[1]S&amp;P500_DAILY'!$A$8:$B$1768,2,0)</f>
        <v>3580.84</v>
      </c>
      <c r="F626" s="1">
        <f t="shared" si="38"/>
        <v>1.5365857116526938E-2</v>
      </c>
      <c r="G626" s="1" t="str">
        <f t="shared" ca="1" si="39"/>
        <v>=E626/E625-1</v>
      </c>
    </row>
    <row r="627" spans="1:7">
      <c r="A627" s="14">
        <v>44077</v>
      </c>
      <c r="B627" s="11">
        <f>VLOOKUP(A627,[1]HD_price_daily!$A$8:$B$1768,2,0)</f>
        <v>274.63</v>
      </c>
      <c r="C627">
        <f t="shared" si="36"/>
        <v>-4.3767409470752083E-2</v>
      </c>
      <c r="D627" s="1" t="str">
        <f t="shared" ca="1" si="37"/>
        <v>=B627/B626-1</v>
      </c>
      <c r="E627" s="8">
        <f>VLOOKUP(A627,'[1]S&amp;P500_DAILY'!$A$8:$B$1768,2,0)</f>
        <v>3455.06</v>
      </c>
      <c r="F627" s="1">
        <f t="shared" si="38"/>
        <v>-3.5125836395929477E-2</v>
      </c>
      <c r="G627" s="1" t="str">
        <f t="shared" ca="1" si="39"/>
        <v>=E627/E626-1</v>
      </c>
    </row>
    <row r="628" spans="1:7">
      <c r="A628" s="14">
        <v>44078</v>
      </c>
      <c r="B628" s="11">
        <f>VLOOKUP(A628,[1]HD_price_daily!$A$8:$B$1768,2,0)</f>
        <v>269.66000000000003</v>
      </c>
      <c r="C628">
        <f t="shared" si="36"/>
        <v>-1.8097076065979545E-2</v>
      </c>
      <c r="D628" s="1" t="str">
        <f t="shared" ca="1" si="37"/>
        <v>=B628/B627-1</v>
      </c>
      <c r="E628" s="8">
        <f>VLOOKUP(A628,'[1]S&amp;P500_DAILY'!$A$8:$B$1768,2,0)</f>
        <v>3426.96</v>
      </c>
      <c r="F628" s="1">
        <f t="shared" si="38"/>
        <v>-8.1329991374968769E-3</v>
      </c>
      <c r="G628" s="1" t="str">
        <f t="shared" ca="1" si="39"/>
        <v>=E628/E627-1</v>
      </c>
    </row>
    <row r="629" spans="1:7">
      <c r="A629" s="14">
        <v>44082</v>
      </c>
      <c r="B629" s="11">
        <f>VLOOKUP(A629,[1]HD_price_daily!$A$8:$B$1768,2,0)</f>
        <v>269.26</v>
      </c>
      <c r="C629">
        <f t="shared" si="36"/>
        <v>-1.4833494029520278E-3</v>
      </c>
      <c r="D629" s="1" t="str">
        <f t="shared" ca="1" si="37"/>
        <v>=B629/B628-1</v>
      </c>
      <c r="E629" s="8">
        <f>VLOOKUP(A629,'[1]S&amp;P500_DAILY'!$A$8:$B$1768,2,0)</f>
        <v>3331.84</v>
      </c>
      <c r="F629" s="1">
        <f t="shared" si="38"/>
        <v>-2.7756378831384043E-2</v>
      </c>
      <c r="G629" s="1" t="str">
        <f t="shared" ca="1" si="39"/>
        <v>=E629/E628-1</v>
      </c>
    </row>
    <row r="630" spans="1:7">
      <c r="A630" s="14">
        <v>44083</v>
      </c>
      <c r="B630" s="11">
        <f>VLOOKUP(A630,[1]HD_price_daily!$A$8:$B$1768,2,0)</f>
        <v>277.04000000000002</v>
      </c>
      <c r="C630">
        <f t="shared" si="36"/>
        <v>2.8894005793656863E-2</v>
      </c>
      <c r="D630" s="1" t="str">
        <f t="shared" ca="1" si="37"/>
        <v>=B630/B629-1</v>
      </c>
      <c r="E630" s="8">
        <f>VLOOKUP(A630,'[1]S&amp;P500_DAILY'!$A$8:$B$1768,2,0)</f>
        <v>3398.96</v>
      </c>
      <c r="F630" s="1">
        <f t="shared" si="38"/>
        <v>2.0145024971186976E-2</v>
      </c>
      <c r="G630" s="1" t="str">
        <f t="shared" ca="1" si="39"/>
        <v>=E630/E629-1</v>
      </c>
    </row>
    <row r="631" spans="1:7">
      <c r="A631" s="14">
        <v>44084</v>
      </c>
      <c r="B631" s="11">
        <f>VLOOKUP(A631,[1]HD_price_daily!$A$8:$B$1768,2,0)</f>
        <v>272.7</v>
      </c>
      <c r="C631">
        <f t="shared" si="36"/>
        <v>-1.5665607854461583E-2</v>
      </c>
      <c r="D631" s="1" t="str">
        <f t="shared" ca="1" si="37"/>
        <v>=B631/B630-1</v>
      </c>
      <c r="E631" s="8">
        <f>VLOOKUP(A631,'[1]S&amp;P500_DAILY'!$A$8:$B$1768,2,0)</f>
        <v>3339.19</v>
      </c>
      <c r="F631" s="1">
        <f t="shared" si="38"/>
        <v>-1.7584790641843373E-2</v>
      </c>
      <c r="G631" s="1" t="str">
        <f t="shared" ca="1" si="39"/>
        <v>=E631/E630-1</v>
      </c>
    </row>
    <row r="632" spans="1:7">
      <c r="A632" s="14">
        <v>44085</v>
      </c>
      <c r="B632" s="11">
        <f>VLOOKUP(A632,[1]HD_price_daily!$A$8:$B$1768,2,0)</f>
        <v>276.33</v>
      </c>
      <c r="C632">
        <f t="shared" si="36"/>
        <v>1.3311331133113224E-2</v>
      </c>
      <c r="D632" s="1" t="str">
        <f t="shared" ca="1" si="37"/>
        <v>=B632/B631-1</v>
      </c>
      <c r="E632" s="8">
        <f>VLOOKUP(A632,'[1]S&amp;P500_DAILY'!$A$8:$B$1768,2,0)</f>
        <v>3340.97</v>
      </c>
      <c r="F632" s="1">
        <f t="shared" si="38"/>
        <v>5.3306340759284865E-4</v>
      </c>
      <c r="G632" s="1" t="str">
        <f t="shared" ca="1" si="39"/>
        <v>=E632/E631-1</v>
      </c>
    </row>
    <row r="633" spans="1:7">
      <c r="A633" s="14">
        <v>44088</v>
      </c>
      <c r="B633" s="11">
        <f>VLOOKUP(A633,[1]HD_price_daily!$A$8:$B$1768,2,0)</f>
        <v>280.64999999999998</v>
      </c>
      <c r="C633">
        <f t="shared" si="36"/>
        <v>1.5633481706655017E-2</v>
      </c>
      <c r="D633" s="1" t="str">
        <f t="shared" ca="1" si="37"/>
        <v>=B633/B632-1</v>
      </c>
      <c r="E633" s="8">
        <f>VLOOKUP(A633,'[1]S&amp;P500_DAILY'!$A$8:$B$1768,2,0)</f>
        <v>3383.54</v>
      </c>
      <c r="F633" s="1">
        <f t="shared" si="38"/>
        <v>1.274180851668838E-2</v>
      </c>
      <c r="G633" s="1" t="str">
        <f t="shared" ca="1" si="39"/>
        <v>=E633/E632-1</v>
      </c>
    </row>
    <row r="634" spans="1:7">
      <c r="A634" s="14">
        <v>44089</v>
      </c>
      <c r="B634" s="11">
        <f>VLOOKUP(A634,[1]HD_price_daily!$A$8:$B$1768,2,0)</f>
        <v>285.58</v>
      </c>
      <c r="C634">
        <f t="shared" si="36"/>
        <v>1.7566363798325435E-2</v>
      </c>
      <c r="D634" s="1" t="str">
        <f t="shared" ca="1" si="37"/>
        <v>=B634/B633-1</v>
      </c>
      <c r="E634" s="8">
        <f>VLOOKUP(A634,'[1]S&amp;P500_DAILY'!$A$8:$B$1768,2,0)</f>
        <v>3401.2</v>
      </c>
      <c r="F634" s="1">
        <f t="shared" si="38"/>
        <v>5.2193856138835759E-3</v>
      </c>
      <c r="G634" s="1" t="str">
        <f t="shared" ca="1" si="39"/>
        <v>=E634/E633-1</v>
      </c>
    </row>
    <row r="635" spans="1:7">
      <c r="A635" s="14">
        <v>44090</v>
      </c>
      <c r="B635" s="11">
        <f>VLOOKUP(A635,[1]HD_price_daily!$A$8:$B$1768,2,0)</f>
        <v>281.63</v>
      </c>
      <c r="C635">
        <f t="shared" si="36"/>
        <v>-1.3831500805378538E-2</v>
      </c>
      <c r="D635" s="1" t="str">
        <f t="shared" ca="1" si="37"/>
        <v>=B635/B634-1</v>
      </c>
      <c r="E635" s="8">
        <f>VLOOKUP(A635,'[1]S&amp;P500_DAILY'!$A$8:$B$1768,2,0)</f>
        <v>3385.49</v>
      </c>
      <c r="F635" s="1">
        <f t="shared" si="38"/>
        <v>-4.6189580148182641E-3</v>
      </c>
      <c r="G635" s="1" t="str">
        <f t="shared" ca="1" si="39"/>
        <v>=E635/E634-1</v>
      </c>
    </row>
    <row r="636" spans="1:7">
      <c r="A636" s="14">
        <v>44091</v>
      </c>
      <c r="B636" s="11">
        <f>VLOOKUP(A636,[1]HD_price_daily!$A$8:$B$1768,2,0)</f>
        <v>279.95999999999998</v>
      </c>
      <c r="C636">
        <f t="shared" si="36"/>
        <v>-5.9297660050421364E-3</v>
      </c>
      <c r="D636" s="1" t="str">
        <f t="shared" ca="1" si="37"/>
        <v>=B636/B635-1</v>
      </c>
      <c r="E636" s="8">
        <f>VLOOKUP(A636,'[1]S&amp;P500_DAILY'!$A$8:$B$1768,2,0)</f>
        <v>3357.01</v>
      </c>
      <c r="F636" s="1">
        <f t="shared" si="38"/>
        <v>-8.4123716212423094E-3</v>
      </c>
      <c r="G636" s="1" t="str">
        <f t="shared" ca="1" si="39"/>
        <v>=E636/E635-1</v>
      </c>
    </row>
    <row r="637" spans="1:7">
      <c r="A637" s="14">
        <v>44092</v>
      </c>
      <c r="B637" s="11">
        <f>VLOOKUP(A637,[1]HD_price_daily!$A$8:$B$1768,2,0)</f>
        <v>275.19</v>
      </c>
      <c r="C637">
        <f t="shared" si="36"/>
        <v>-1.7038148306900869E-2</v>
      </c>
      <c r="D637" s="1" t="str">
        <f t="shared" ca="1" si="37"/>
        <v>=B637/B636-1</v>
      </c>
      <c r="E637" s="8">
        <f>VLOOKUP(A637,'[1]S&amp;P500_DAILY'!$A$8:$B$1768,2,0)</f>
        <v>3319.47</v>
      </c>
      <c r="F637" s="1">
        <f t="shared" si="38"/>
        <v>-1.1182570203842279E-2</v>
      </c>
      <c r="G637" s="1" t="str">
        <f t="shared" ca="1" si="39"/>
        <v>=E637/E636-1</v>
      </c>
    </row>
    <row r="638" spans="1:7">
      <c r="A638" s="14">
        <v>44095</v>
      </c>
      <c r="B638" s="11">
        <f>VLOOKUP(A638,[1]HD_price_daily!$A$8:$B$1768,2,0)</f>
        <v>272.35000000000002</v>
      </c>
      <c r="C638">
        <f t="shared" si="36"/>
        <v>-1.0320142447036496E-2</v>
      </c>
      <c r="D638" s="1" t="str">
        <f t="shared" ca="1" si="37"/>
        <v>=B638/B637-1</v>
      </c>
      <c r="E638" s="8">
        <f>VLOOKUP(A638,'[1]S&amp;P500_DAILY'!$A$8:$B$1768,2,0)</f>
        <v>3281.06</v>
      </c>
      <c r="F638" s="1">
        <f t="shared" si="38"/>
        <v>-1.1571124305988612E-2</v>
      </c>
      <c r="G638" s="1" t="str">
        <f t="shared" ca="1" si="39"/>
        <v>=E638/E637-1</v>
      </c>
    </row>
    <row r="639" spans="1:7">
      <c r="A639" s="14">
        <v>44096</v>
      </c>
      <c r="B639" s="11">
        <f>VLOOKUP(A639,[1]HD_price_daily!$A$8:$B$1768,2,0)</f>
        <v>273.31</v>
      </c>
      <c r="C639">
        <f t="shared" si="36"/>
        <v>3.524876078575323E-3</v>
      </c>
      <c r="D639" s="1" t="str">
        <f t="shared" ca="1" si="37"/>
        <v>=B639/B638-1</v>
      </c>
      <c r="E639" s="8">
        <f>VLOOKUP(A639,'[1]S&amp;P500_DAILY'!$A$8:$B$1768,2,0)</f>
        <v>3315.57</v>
      </c>
      <c r="F639" s="1">
        <f t="shared" si="38"/>
        <v>1.0517942372282096E-2</v>
      </c>
      <c r="G639" s="1" t="str">
        <f t="shared" ca="1" si="39"/>
        <v>=E639/E638-1</v>
      </c>
    </row>
    <row r="640" spans="1:7">
      <c r="A640" s="14">
        <v>44097</v>
      </c>
      <c r="B640" s="11">
        <f>VLOOKUP(A640,[1]HD_price_daily!$A$8:$B$1768,2,0)</f>
        <v>266.55</v>
      </c>
      <c r="C640">
        <f t="shared" si="36"/>
        <v>-2.4733818740624192E-2</v>
      </c>
      <c r="D640" s="1" t="str">
        <f t="shared" ca="1" si="37"/>
        <v>=B640/B639-1</v>
      </c>
      <c r="E640" s="8">
        <f>VLOOKUP(A640,'[1]S&amp;P500_DAILY'!$A$8:$B$1768,2,0)</f>
        <v>3236.92</v>
      </c>
      <c r="F640" s="1">
        <f t="shared" si="38"/>
        <v>-2.3721411401357861E-2</v>
      </c>
      <c r="G640" s="1" t="str">
        <f t="shared" ca="1" si="39"/>
        <v>=E640/E639-1</v>
      </c>
    </row>
    <row r="641" spans="1:7">
      <c r="A641" s="14">
        <v>44098</v>
      </c>
      <c r="B641" s="11">
        <f>VLOOKUP(A641,[1]HD_price_daily!$A$8:$B$1768,2,0)</f>
        <v>265.7</v>
      </c>
      <c r="C641">
        <f t="shared" si="36"/>
        <v>-3.1888951416245703E-3</v>
      </c>
      <c r="D641" s="1" t="str">
        <f t="shared" ca="1" si="37"/>
        <v>=B641/B640-1</v>
      </c>
      <c r="E641" s="8">
        <f>VLOOKUP(A641,'[1]S&amp;P500_DAILY'!$A$8:$B$1768,2,0)</f>
        <v>3246.59</v>
      </c>
      <c r="F641" s="1">
        <f t="shared" si="38"/>
        <v>2.9874077827070078E-3</v>
      </c>
      <c r="G641" s="1" t="str">
        <f t="shared" ca="1" si="39"/>
        <v>=E641/E640-1</v>
      </c>
    </row>
    <row r="642" spans="1:7">
      <c r="A642" s="14">
        <v>44099</v>
      </c>
      <c r="B642" s="11">
        <f>VLOOKUP(A642,[1]HD_price_daily!$A$8:$B$1768,2,0)</f>
        <v>268.55</v>
      </c>
      <c r="C642">
        <f t="shared" si="36"/>
        <v>1.0726383138878415E-2</v>
      </c>
      <c r="D642" s="1" t="str">
        <f t="shared" ca="1" si="37"/>
        <v>=B642/B641-1</v>
      </c>
      <c r="E642" s="8">
        <f>VLOOKUP(A642,'[1]S&amp;P500_DAILY'!$A$8:$B$1768,2,0)</f>
        <v>3298.46</v>
      </c>
      <c r="F642" s="1">
        <f t="shared" si="38"/>
        <v>1.5976763311659203E-2</v>
      </c>
      <c r="G642" s="1" t="str">
        <f t="shared" ca="1" si="39"/>
        <v>=E642/E641-1</v>
      </c>
    </row>
    <row r="643" spans="1:7">
      <c r="A643" s="14">
        <v>44102</v>
      </c>
      <c r="B643" s="11">
        <f>VLOOKUP(A643,[1]HD_price_daily!$A$8:$B$1768,2,0)</f>
        <v>272.33</v>
      </c>
      <c r="C643">
        <f t="shared" si="36"/>
        <v>1.4075591137590715E-2</v>
      </c>
      <c r="D643" s="1" t="str">
        <f t="shared" ca="1" si="37"/>
        <v>=B643/B642-1</v>
      </c>
      <c r="E643" s="8">
        <f>VLOOKUP(A643,'[1]S&amp;P500_DAILY'!$A$8:$B$1768,2,0)</f>
        <v>3351.6</v>
      </c>
      <c r="F643" s="1">
        <f t="shared" si="38"/>
        <v>1.6110548559024496E-2</v>
      </c>
      <c r="G643" s="1" t="str">
        <f t="shared" ca="1" si="39"/>
        <v>=E643/E642-1</v>
      </c>
    </row>
    <row r="644" spans="1:7">
      <c r="A644" s="14">
        <v>44103</v>
      </c>
      <c r="B644" s="11">
        <f>VLOOKUP(A644,[1]HD_price_daily!$A$8:$B$1768,2,0)</f>
        <v>272.11</v>
      </c>
      <c r="C644">
        <f t="shared" ref="C644:C707" si="40">B644/B643-1</f>
        <v>-8.0784342525597186E-4</v>
      </c>
      <c r="D644" s="1" t="str">
        <f t="shared" ref="D644:D707" ca="1" si="41">_xlfn.FORMULATEXT(C644)</f>
        <v>=B644/B643-1</v>
      </c>
      <c r="E644" s="8">
        <f>VLOOKUP(A644,'[1]S&amp;P500_DAILY'!$A$8:$B$1768,2,0)</f>
        <v>3335.47</v>
      </c>
      <c r="F644" s="1">
        <f t="shared" ref="F644:F707" si="42">E644/E643-1</f>
        <v>-4.8126268051080778E-3</v>
      </c>
      <c r="G644" s="1" t="str">
        <f t="shared" ref="G644:G707" ca="1" si="43">_xlfn.FORMULATEXT(F644)</f>
        <v>=E644/E643-1</v>
      </c>
    </row>
    <row r="645" spans="1:7">
      <c r="A645" s="14">
        <v>44104</v>
      </c>
      <c r="B645" s="11">
        <f>VLOOKUP(A645,[1]HD_price_daily!$A$8:$B$1768,2,0)</f>
        <v>277.70999999999998</v>
      </c>
      <c r="C645">
        <f t="shared" si="40"/>
        <v>2.0579912535371614E-2</v>
      </c>
      <c r="D645" s="1" t="str">
        <f t="shared" ca="1" si="41"/>
        <v>=B645/B644-1</v>
      </c>
      <c r="E645" s="8">
        <f>VLOOKUP(A645,'[1]S&amp;P500_DAILY'!$A$8:$B$1768,2,0)</f>
        <v>3363</v>
      </c>
      <c r="F645" s="1">
        <f t="shared" si="42"/>
        <v>8.2537093722925281E-3</v>
      </c>
      <c r="G645" s="1" t="str">
        <f t="shared" ca="1" si="43"/>
        <v>=E645/E644-1</v>
      </c>
    </row>
    <row r="646" spans="1:7">
      <c r="A646" s="14">
        <v>44105</v>
      </c>
      <c r="B646" s="11">
        <f>VLOOKUP(A646,[1]HD_price_daily!$A$8:$B$1768,2,0)</f>
        <v>277.62</v>
      </c>
      <c r="C646">
        <f t="shared" si="40"/>
        <v>-3.2407907529430346E-4</v>
      </c>
      <c r="D646" s="1" t="str">
        <f t="shared" ca="1" si="41"/>
        <v>=B646/B645-1</v>
      </c>
      <c r="E646" s="8">
        <f>VLOOKUP(A646,'[1]S&amp;P500_DAILY'!$A$8:$B$1768,2,0)</f>
        <v>3380.8</v>
      </c>
      <c r="F646" s="1">
        <f t="shared" si="42"/>
        <v>5.2928932500744263E-3</v>
      </c>
      <c r="G646" s="1" t="str">
        <f t="shared" ca="1" si="43"/>
        <v>=E646/E645-1</v>
      </c>
    </row>
    <row r="647" spans="1:7">
      <c r="A647" s="14">
        <v>44106</v>
      </c>
      <c r="B647" s="11">
        <f>VLOOKUP(A647,[1]HD_price_daily!$A$8:$B$1768,2,0)</f>
        <v>279.31</v>
      </c>
      <c r="C647">
        <f t="shared" si="40"/>
        <v>6.087457675959973E-3</v>
      </c>
      <c r="D647" s="1" t="str">
        <f t="shared" ca="1" si="41"/>
        <v>=B647/B646-1</v>
      </c>
      <c r="E647" s="8">
        <f>VLOOKUP(A647,'[1]S&amp;P500_DAILY'!$A$8:$B$1768,2,0)</f>
        <v>3348.44</v>
      </c>
      <c r="F647" s="1">
        <f t="shared" si="42"/>
        <v>-9.571699006152401E-3</v>
      </c>
      <c r="G647" s="1" t="str">
        <f t="shared" ca="1" si="43"/>
        <v>=E647/E646-1</v>
      </c>
    </row>
    <row r="648" spans="1:7">
      <c r="A648" s="14">
        <v>44109</v>
      </c>
      <c r="B648" s="11">
        <f>VLOOKUP(A648,[1]HD_price_daily!$A$8:$B$1768,2,0)</f>
        <v>282.10000000000002</v>
      </c>
      <c r="C648">
        <f t="shared" si="40"/>
        <v>9.9889012208658201E-3</v>
      </c>
      <c r="D648" s="1" t="str">
        <f t="shared" ca="1" si="41"/>
        <v>=B648/B647-1</v>
      </c>
      <c r="E648" s="8">
        <f>VLOOKUP(A648,'[1]S&amp;P500_DAILY'!$A$8:$B$1768,2,0)</f>
        <v>3408.63</v>
      </c>
      <c r="F648" s="1">
        <f t="shared" si="42"/>
        <v>1.7975534875942278E-2</v>
      </c>
      <c r="G648" s="1" t="str">
        <f t="shared" ca="1" si="43"/>
        <v>=E648/E647-1</v>
      </c>
    </row>
    <row r="649" spans="1:7">
      <c r="A649" s="14">
        <v>44110</v>
      </c>
      <c r="B649" s="11">
        <f>VLOOKUP(A649,[1]HD_price_daily!$A$8:$B$1768,2,0)</f>
        <v>276.47000000000003</v>
      </c>
      <c r="C649">
        <f t="shared" si="40"/>
        <v>-1.9957461892945783E-2</v>
      </c>
      <c r="D649" s="1" t="str">
        <f t="shared" ca="1" si="41"/>
        <v>=B649/B648-1</v>
      </c>
      <c r="E649" s="8">
        <f>VLOOKUP(A649,'[1]S&amp;P500_DAILY'!$A$8:$B$1768,2,0)</f>
        <v>3360.95</v>
      </c>
      <c r="F649" s="1">
        <f t="shared" si="42"/>
        <v>-1.3988024514247743E-2</v>
      </c>
      <c r="G649" s="1" t="str">
        <f t="shared" ca="1" si="43"/>
        <v>=E649/E648-1</v>
      </c>
    </row>
    <row r="650" spans="1:7">
      <c r="A650" s="14">
        <v>44111</v>
      </c>
      <c r="B650" s="11">
        <f>VLOOKUP(A650,[1]HD_price_daily!$A$8:$B$1768,2,0)</f>
        <v>282.79000000000002</v>
      </c>
      <c r="C650">
        <f t="shared" si="40"/>
        <v>2.2859623105581095E-2</v>
      </c>
      <c r="D650" s="1" t="str">
        <f t="shared" ca="1" si="41"/>
        <v>=B650/B649-1</v>
      </c>
      <c r="E650" s="8">
        <f>VLOOKUP(A650,'[1]S&amp;P500_DAILY'!$A$8:$B$1768,2,0)</f>
        <v>3419.45</v>
      </c>
      <c r="F650" s="1">
        <f t="shared" si="42"/>
        <v>1.740579300495404E-2</v>
      </c>
      <c r="G650" s="1" t="str">
        <f t="shared" ca="1" si="43"/>
        <v>=E650/E649-1</v>
      </c>
    </row>
    <row r="651" spans="1:7">
      <c r="A651" s="14">
        <v>44112</v>
      </c>
      <c r="B651" s="11">
        <f>VLOOKUP(A651,[1]HD_price_daily!$A$8:$B$1768,2,0)</f>
        <v>284.52</v>
      </c>
      <c r="C651">
        <f t="shared" si="40"/>
        <v>6.1176137770075911E-3</v>
      </c>
      <c r="D651" s="1" t="str">
        <f t="shared" ca="1" si="41"/>
        <v>=B651/B650-1</v>
      </c>
      <c r="E651" s="8">
        <f>VLOOKUP(A651,'[1]S&amp;P500_DAILY'!$A$8:$B$1768,2,0)</f>
        <v>3446.83</v>
      </c>
      <c r="F651" s="1">
        <f t="shared" si="42"/>
        <v>8.0071356504700653E-3</v>
      </c>
      <c r="G651" s="1" t="str">
        <f t="shared" ca="1" si="43"/>
        <v>=E651/E650-1</v>
      </c>
    </row>
    <row r="652" spans="1:7">
      <c r="A652" s="14">
        <v>44113</v>
      </c>
      <c r="B652" s="11">
        <f>VLOOKUP(A652,[1]HD_price_daily!$A$8:$B$1768,2,0)</f>
        <v>285.92</v>
      </c>
      <c r="C652">
        <f t="shared" si="40"/>
        <v>4.9205679741319841E-3</v>
      </c>
      <c r="D652" s="1" t="str">
        <f t="shared" ca="1" si="41"/>
        <v>=B652/B651-1</v>
      </c>
      <c r="E652" s="8">
        <f>VLOOKUP(A652,'[1]S&amp;P500_DAILY'!$A$8:$B$1768,2,0)</f>
        <v>3477.13</v>
      </c>
      <c r="F652" s="1">
        <f t="shared" si="42"/>
        <v>8.7906859346125188E-3</v>
      </c>
      <c r="G652" s="1" t="str">
        <f t="shared" ca="1" si="43"/>
        <v>=E652/E651-1</v>
      </c>
    </row>
    <row r="653" spans="1:7">
      <c r="A653" s="14">
        <v>44116</v>
      </c>
      <c r="B653" s="11">
        <f>VLOOKUP(A653,[1]HD_price_daily!$A$8:$B$1768,2,0)</f>
        <v>286.91000000000003</v>
      </c>
      <c r="C653">
        <f t="shared" si="40"/>
        <v>3.4625069949636433E-3</v>
      </c>
      <c r="D653" s="1" t="str">
        <f t="shared" ca="1" si="41"/>
        <v>=B653/B652-1</v>
      </c>
      <c r="E653" s="8">
        <f>VLOOKUP(A653,'[1]S&amp;P500_DAILY'!$A$8:$B$1768,2,0)</f>
        <v>3534.22</v>
      </c>
      <c r="F653" s="1">
        <f t="shared" si="42"/>
        <v>1.6418713134107588E-2</v>
      </c>
      <c r="G653" s="1" t="str">
        <f t="shared" ca="1" si="43"/>
        <v>=E653/E652-1</v>
      </c>
    </row>
    <row r="654" spans="1:7">
      <c r="A654" s="14">
        <v>44117</v>
      </c>
      <c r="B654" s="11">
        <f>VLOOKUP(A654,[1]HD_price_daily!$A$8:$B$1768,2,0)</f>
        <v>290.36</v>
      </c>
      <c r="C654">
        <f t="shared" si="40"/>
        <v>1.2024676727893757E-2</v>
      </c>
      <c r="D654" s="1" t="str">
        <f t="shared" ca="1" si="41"/>
        <v>=B654/B653-1</v>
      </c>
      <c r="E654" s="8">
        <f>VLOOKUP(A654,'[1]S&amp;P500_DAILY'!$A$8:$B$1768,2,0)</f>
        <v>3511.93</v>
      </c>
      <c r="F654" s="1">
        <f t="shared" si="42"/>
        <v>-6.3069078891523356E-3</v>
      </c>
      <c r="G654" s="1" t="str">
        <f t="shared" ca="1" si="43"/>
        <v>=E654/E653-1</v>
      </c>
    </row>
    <row r="655" spans="1:7">
      <c r="A655" s="14">
        <v>44118</v>
      </c>
      <c r="B655" s="11">
        <f>VLOOKUP(A655,[1]HD_price_daily!$A$8:$B$1768,2,0)</f>
        <v>287.08999999999997</v>
      </c>
      <c r="C655">
        <f t="shared" si="40"/>
        <v>-1.1261881801901241E-2</v>
      </c>
      <c r="D655" s="1" t="str">
        <f t="shared" ca="1" si="41"/>
        <v>=B655/B654-1</v>
      </c>
      <c r="E655" s="8">
        <f>VLOOKUP(A655,'[1]S&amp;P500_DAILY'!$A$8:$B$1768,2,0)</f>
        <v>3488.67</v>
      </c>
      <c r="F655" s="1">
        <f t="shared" si="42"/>
        <v>-6.623138843883547E-3</v>
      </c>
      <c r="G655" s="1" t="str">
        <f t="shared" ca="1" si="43"/>
        <v>=E655/E654-1</v>
      </c>
    </row>
    <row r="656" spans="1:7">
      <c r="A656" s="14">
        <v>44119</v>
      </c>
      <c r="B656" s="11">
        <f>VLOOKUP(A656,[1]HD_price_daily!$A$8:$B$1768,2,0)</f>
        <v>287.54000000000002</v>
      </c>
      <c r="C656">
        <f t="shared" si="40"/>
        <v>1.5674527151765538E-3</v>
      </c>
      <c r="D656" s="1" t="str">
        <f t="shared" ca="1" si="41"/>
        <v>=B656/B655-1</v>
      </c>
      <c r="E656" s="8">
        <f>VLOOKUP(A656,'[1]S&amp;P500_DAILY'!$A$8:$B$1768,2,0)</f>
        <v>3483.34</v>
      </c>
      <c r="F656" s="1">
        <f t="shared" si="42"/>
        <v>-1.5278028589691406E-3</v>
      </c>
      <c r="G656" s="1" t="str">
        <f t="shared" ca="1" si="43"/>
        <v>=E656/E655-1</v>
      </c>
    </row>
    <row r="657" spans="1:7">
      <c r="A657" s="14">
        <v>44120</v>
      </c>
      <c r="B657" s="11">
        <f>VLOOKUP(A657,[1]HD_price_daily!$A$8:$B$1768,2,0)</f>
        <v>287.66000000000003</v>
      </c>
      <c r="C657">
        <f t="shared" si="40"/>
        <v>4.173332405925656E-4</v>
      </c>
      <c r="D657" s="1" t="str">
        <f t="shared" ca="1" si="41"/>
        <v>=B657/B656-1</v>
      </c>
      <c r="E657" s="8">
        <f>VLOOKUP(A657,'[1]S&amp;P500_DAILY'!$A$8:$B$1768,2,0)</f>
        <v>3483.81</v>
      </c>
      <c r="F657" s="1">
        <f t="shared" si="42"/>
        <v>1.3492797142955482E-4</v>
      </c>
      <c r="G657" s="1" t="str">
        <f t="shared" ca="1" si="43"/>
        <v>=E657/E656-1</v>
      </c>
    </row>
    <row r="658" spans="1:7">
      <c r="A658" s="14">
        <v>44123</v>
      </c>
      <c r="B658" s="11">
        <f>VLOOKUP(A658,[1]HD_price_daily!$A$8:$B$1768,2,0)</f>
        <v>283.73</v>
      </c>
      <c r="C658">
        <f t="shared" si="40"/>
        <v>-1.3661962038517772E-2</v>
      </c>
      <c r="D658" s="1" t="str">
        <f t="shared" ca="1" si="41"/>
        <v>=B658/B657-1</v>
      </c>
      <c r="E658" s="8">
        <f>VLOOKUP(A658,'[1]S&amp;P500_DAILY'!$A$8:$B$1768,2,0)</f>
        <v>3426.92</v>
      </c>
      <c r="F658" s="1">
        <f t="shared" si="42"/>
        <v>-1.6329822808936134E-2</v>
      </c>
      <c r="G658" s="1" t="str">
        <f t="shared" ca="1" si="43"/>
        <v>=E658/E657-1</v>
      </c>
    </row>
    <row r="659" spans="1:7">
      <c r="A659" s="14">
        <v>44124</v>
      </c>
      <c r="B659" s="11">
        <f>VLOOKUP(A659,[1]HD_price_daily!$A$8:$B$1768,2,0)</f>
        <v>286.04000000000002</v>
      </c>
      <c r="C659">
        <f t="shared" si="40"/>
        <v>8.1415430162479208E-3</v>
      </c>
      <c r="D659" s="1" t="str">
        <f t="shared" ca="1" si="41"/>
        <v>=B659/B658-1</v>
      </c>
      <c r="E659" s="8">
        <f>VLOOKUP(A659,'[1]S&amp;P500_DAILY'!$A$8:$B$1768,2,0)</f>
        <v>3443.12</v>
      </c>
      <c r="F659" s="1">
        <f t="shared" si="42"/>
        <v>4.7272769717412455E-3</v>
      </c>
      <c r="G659" s="1" t="str">
        <f t="shared" ca="1" si="43"/>
        <v>=E659/E658-1</v>
      </c>
    </row>
    <row r="660" spans="1:7">
      <c r="A660" s="14">
        <v>44125</v>
      </c>
      <c r="B660" s="11">
        <f>VLOOKUP(A660,[1]HD_price_daily!$A$8:$B$1768,2,0)</f>
        <v>284.51</v>
      </c>
      <c r="C660">
        <f t="shared" si="40"/>
        <v>-5.3489022514334739E-3</v>
      </c>
      <c r="D660" s="1" t="str">
        <f t="shared" ca="1" si="41"/>
        <v>=B660/B659-1</v>
      </c>
      <c r="E660" s="8">
        <f>VLOOKUP(A660,'[1]S&amp;P500_DAILY'!$A$8:$B$1768,2,0)</f>
        <v>3435.56</v>
      </c>
      <c r="F660" s="1">
        <f t="shared" si="42"/>
        <v>-2.1956829851994542E-3</v>
      </c>
      <c r="G660" s="1" t="str">
        <f t="shared" ca="1" si="43"/>
        <v>=E660/E659-1</v>
      </c>
    </row>
    <row r="661" spans="1:7">
      <c r="A661" s="14">
        <v>44126</v>
      </c>
      <c r="B661" s="11">
        <f>VLOOKUP(A661,[1]HD_price_daily!$A$8:$B$1768,2,0)</f>
        <v>281.16000000000003</v>
      </c>
      <c r="C661">
        <f t="shared" si="40"/>
        <v>-1.1774630065726877E-2</v>
      </c>
      <c r="D661" s="1" t="str">
        <f t="shared" ca="1" si="41"/>
        <v>=B661/B660-1</v>
      </c>
      <c r="E661" s="8">
        <f>VLOOKUP(A661,'[1]S&amp;P500_DAILY'!$A$8:$B$1768,2,0)</f>
        <v>3453.49</v>
      </c>
      <c r="F661" s="1">
        <f t="shared" si="42"/>
        <v>5.2189453829942778E-3</v>
      </c>
      <c r="G661" s="1" t="str">
        <f t="shared" ca="1" si="43"/>
        <v>=E661/E660-1</v>
      </c>
    </row>
    <row r="662" spans="1:7">
      <c r="A662" s="14">
        <v>44127</v>
      </c>
      <c r="B662" s="11">
        <f>VLOOKUP(A662,[1]HD_price_daily!$A$8:$B$1768,2,0)</f>
        <v>283</v>
      </c>
      <c r="C662">
        <f t="shared" si="40"/>
        <v>6.5443164034713064E-3</v>
      </c>
      <c r="D662" s="1" t="str">
        <f t="shared" ca="1" si="41"/>
        <v>=B662/B661-1</v>
      </c>
      <c r="E662" s="8">
        <f>VLOOKUP(A662,'[1]S&amp;P500_DAILY'!$A$8:$B$1768,2,0)</f>
        <v>3465.39</v>
      </c>
      <c r="F662" s="1">
        <f t="shared" si="42"/>
        <v>3.4457896215134287E-3</v>
      </c>
      <c r="G662" s="1" t="str">
        <f t="shared" ca="1" si="43"/>
        <v>=E662/E661-1</v>
      </c>
    </row>
    <row r="663" spans="1:7">
      <c r="A663" s="14">
        <v>44130</v>
      </c>
      <c r="B663" s="11">
        <f>VLOOKUP(A663,[1]HD_price_daily!$A$8:$B$1768,2,0)</f>
        <v>276.04000000000002</v>
      </c>
      <c r="C663">
        <f t="shared" si="40"/>
        <v>-2.4593639575971604E-2</v>
      </c>
      <c r="D663" s="1" t="str">
        <f t="shared" ca="1" si="41"/>
        <v>=B663/B662-1</v>
      </c>
      <c r="E663" s="8">
        <f>VLOOKUP(A663,'[1]S&amp;P500_DAILY'!$A$8:$B$1768,2,0)</f>
        <v>3400.97</v>
      </c>
      <c r="F663" s="1">
        <f t="shared" si="42"/>
        <v>-1.8589538262648642E-2</v>
      </c>
      <c r="G663" s="1" t="str">
        <f t="shared" ca="1" si="43"/>
        <v>=E663/E662-1</v>
      </c>
    </row>
    <row r="664" spans="1:7">
      <c r="A664" s="14">
        <v>44131</v>
      </c>
      <c r="B664" s="11">
        <f>VLOOKUP(A664,[1]HD_price_daily!$A$8:$B$1768,2,0)</f>
        <v>276.83999999999997</v>
      </c>
      <c r="C664">
        <f t="shared" si="40"/>
        <v>2.8981307056945571E-3</v>
      </c>
      <c r="D664" s="1" t="str">
        <f t="shared" ca="1" si="41"/>
        <v>=B664/B663-1</v>
      </c>
      <c r="E664" s="8">
        <f>VLOOKUP(A664,'[1]S&amp;P500_DAILY'!$A$8:$B$1768,2,0)</f>
        <v>3390.68</v>
      </c>
      <c r="F664" s="1">
        <f t="shared" si="42"/>
        <v>-3.0256074002417144E-3</v>
      </c>
      <c r="G664" s="1" t="str">
        <f t="shared" ca="1" si="43"/>
        <v>=E664/E663-1</v>
      </c>
    </row>
    <row r="665" spans="1:7">
      <c r="A665" s="14">
        <v>44132</v>
      </c>
      <c r="B665" s="11">
        <f>VLOOKUP(A665,[1]HD_price_daily!$A$8:$B$1768,2,0)</f>
        <v>269.72000000000003</v>
      </c>
      <c r="C665">
        <f t="shared" si="40"/>
        <v>-2.5718826759138613E-2</v>
      </c>
      <c r="D665" s="1" t="str">
        <f t="shared" ca="1" si="41"/>
        <v>=B665/B664-1</v>
      </c>
      <c r="E665" s="8">
        <f>VLOOKUP(A665,'[1]S&amp;P500_DAILY'!$A$8:$B$1768,2,0)</f>
        <v>3271.03</v>
      </c>
      <c r="F665" s="1">
        <f t="shared" si="42"/>
        <v>-3.5287906850543171E-2</v>
      </c>
      <c r="G665" s="1" t="str">
        <f t="shared" ca="1" si="43"/>
        <v>=E665/E664-1</v>
      </c>
    </row>
    <row r="666" spans="1:7">
      <c r="A666" s="14">
        <v>44133</v>
      </c>
      <c r="B666" s="11">
        <f>VLOOKUP(A666,[1]HD_price_daily!$A$8:$B$1768,2,0)</f>
        <v>269.63</v>
      </c>
      <c r="C666">
        <f t="shared" si="40"/>
        <v>-3.3367937119987978E-4</v>
      </c>
      <c r="D666" s="1" t="str">
        <f t="shared" ca="1" si="41"/>
        <v>=B666/B665-1</v>
      </c>
      <c r="E666" s="8">
        <f>VLOOKUP(A666,'[1]S&amp;P500_DAILY'!$A$8:$B$1768,2,0)</f>
        <v>3310.11</v>
      </c>
      <c r="F666" s="1">
        <f t="shared" si="42"/>
        <v>1.1947307117329942E-2</v>
      </c>
      <c r="G666" s="1" t="str">
        <f t="shared" ca="1" si="43"/>
        <v>=E666/E665-1</v>
      </c>
    </row>
    <row r="667" spans="1:7">
      <c r="A667" s="14">
        <v>44134</v>
      </c>
      <c r="B667" s="11">
        <f>VLOOKUP(A667,[1]HD_price_daily!$A$8:$B$1768,2,0)</f>
        <v>266.70999999999998</v>
      </c>
      <c r="C667">
        <f t="shared" si="40"/>
        <v>-1.0829655453770015E-2</v>
      </c>
      <c r="D667" s="1" t="str">
        <f t="shared" ca="1" si="41"/>
        <v>=B667/B666-1</v>
      </c>
      <c r="E667" s="8">
        <f>VLOOKUP(A667,'[1]S&amp;P500_DAILY'!$A$8:$B$1768,2,0)</f>
        <v>3269.96</v>
      </c>
      <c r="F667" s="1">
        <f t="shared" si="42"/>
        <v>-1.2129506270184387E-2</v>
      </c>
      <c r="G667" s="1" t="str">
        <f t="shared" ca="1" si="43"/>
        <v>=E667/E666-1</v>
      </c>
    </row>
    <row r="668" spans="1:7">
      <c r="A668" s="14">
        <v>44137</v>
      </c>
      <c r="B668" s="11">
        <f>VLOOKUP(A668,[1]HD_price_daily!$A$8:$B$1768,2,0)</f>
        <v>270.74</v>
      </c>
      <c r="C668">
        <f t="shared" si="40"/>
        <v>1.5110044617749674E-2</v>
      </c>
      <c r="D668" s="1" t="str">
        <f t="shared" ca="1" si="41"/>
        <v>=B668/B667-1</v>
      </c>
      <c r="E668" s="8">
        <f>VLOOKUP(A668,'[1]S&amp;P500_DAILY'!$A$8:$B$1768,2,0)</f>
        <v>3310.24</v>
      </c>
      <c r="F668" s="1">
        <f t="shared" si="42"/>
        <v>1.231819349472163E-2</v>
      </c>
      <c r="G668" s="1" t="str">
        <f t="shared" ca="1" si="43"/>
        <v>=E668/E667-1</v>
      </c>
    </row>
    <row r="669" spans="1:7">
      <c r="A669" s="14">
        <v>44138</v>
      </c>
      <c r="B669" s="11">
        <f>VLOOKUP(A669,[1]HD_price_daily!$A$8:$B$1768,2,0)</f>
        <v>277.37</v>
      </c>
      <c r="C669">
        <f t="shared" si="40"/>
        <v>2.4488439092856584E-2</v>
      </c>
      <c r="D669" s="1" t="str">
        <f t="shared" ca="1" si="41"/>
        <v>=B669/B668-1</v>
      </c>
      <c r="E669" s="8">
        <f>VLOOKUP(A669,'[1]S&amp;P500_DAILY'!$A$8:$B$1768,2,0)</f>
        <v>3369.16</v>
      </c>
      <c r="F669" s="1">
        <f t="shared" si="42"/>
        <v>1.7799313644932147E-2</v>
      </c>
      <c r="G669" s="1" t="str">
        <f t="shared" ca="1" si="43"/>
        <v>=E669/E668-1</v>
      </c>
    </row>
    <row r="670" spans="1:7">
      <c r="A670" s="14">
        <v>44139</v>
      </c>
      <c r="B670" s="11">
        <f>VLOOKUP(A670,[1]HD_price_daily!$A$8:$B$1768,2,0)</f>
        <v>282.72000000000003</v>
      </c>
      <c r="C670">
        <f t="shared" si="40"/>
        <v>1.9288315246782428E-2</v>
      </c>
      <c r="D670" s="1" t="str">
        <f t="shared" ca="1" si="41"/>
        <v>=B670/B669-1</v>
      </c>
      <c r="E670" s="8">
        <f>VLOOKUP(A670,'[1]S&amp;P500_DAILY'!$A$8:$B$1768,2,0)</f>
        <v>3443.44</v>
      </c>
      <c r="F670" s="1">
        <f t="shared" si="42"/>
        <v>2.2047038430944355E-2</v>
      </c>
      <c r="G670" s="1" t="str">
        <f t="shared" ca="1" si="43"/>
        <v>=E670/E669-1</v>
      </c>
    </row>
    <row r="671" spans="1:7">
      <c r="A671" s="14">
        <v>44140</v>
      </c>
      <c r="B671" s="11">
        <f>VLOOKUP(A671,[1]HD_price_daily!$A$8:$B$1768,2,0)</f>
        <v>285.85000000000002</v>
      </c>
      <c r="C671">
        <f t="shared" si="40"/>
        <v>1.1071024335031154E-2</v>
      </c>
      <c r="D671" s="1" t="str">
        <f t="shared" ca="1" si="41"/>
        <v>=B671/B670-1</v>
      </c>
      <c r="E671" s="8">
        <f>VLOOKUP(A671,'[1]S&amp;P500_DAILY'!$A$8:$B$1768,2,0)</f>
        <v>3510.45</v>
      </c>
      <c r="F671" s="1">
        <f t="shared" si="42"/>
        <v>1.9460190971818836E-2</v>
      </c>
      <c r="G671" s="1" t="str">
        <f t="shared" ca="1" si="43"/>
        <v>=E671/E670-1</v>
      </c>
    </row>
    <row r="672" spans="1:7">
      <c r="A672" s="14">
        <v>44141</v>
      </c>
      <c r="B672" s="11">
        <f>VLOOKUP(A672,[1]HD_price_daily!$A$8:$B$1768,2,0)</f>
        <v>284.24</v>
      </c>
      <c r="C672">
        <f t="shared" si="40"/>
        <v>-5.6323246457933296E-3</v>
      </c>
      <c r="D672" s="1" t="str">
        <f t="shared" ca="1" si="41"/>
        <v>=B672/B671-1</v>
      </c>
      <c r="E672" s="8">
        <f>VLOOKUP(A672,'[1]S&amp;P500_DAILY'!$A$8:$B$1768,2,0)</f>
        <v>3509.44</v>
      </c>
      <c r="F672" s="1">
        <f t="shared" si="42"/>
        <v>-2.8771240154390476E-4</v>
      </c>
      <c r="G672" s="1" t="str">
        <f t="shared" ca="1" si="43"/>
        <v>=E672/E671-1</v>
      </c>
    </row>
    <row r="673" spans="1:7">
      <c r="A673" s="14">
        <v>44144</v>
      </c>
      <c r="B673" s="11">
        <f>VLOOKUP(A673,[1]HD_price_daily!$A$8:$B$1768,2,0)</f>
        <v>269.97000000000003</v>
      </c>
      <c r="C673">
        <f t="shared" si="40"/>
        <v>-5.0204052913031205E-2</v>
      </c>
      <c r="D673" s="1" t="str">
        <f t="shared" ca="1" si="41"/>
        <v>=B673/B672-1</v>
      </c>
      <c r="E673" s="8">
        <f>VLOOKUP(A673,'[1]S&amp;P500_DAILY'!$A$8:$B$1768,2,0)</f>
        <v>3550.5</v>
      </c>
      <c r="F673" s="1">
        <f t="shared" si="42"/>
        <v>1.1699872344305584E-2</v>
      </c>
      <c r="G673" s="1" t="str">
        <f t="shared" ca="1" si="43"/>
        <v>=E673/E672-1</v>
      </c>
    </row>
    <row r="674" spans="1:7">
      <c r="A674" s="14">
        <v>44145</v>
      </c>
      <c r="B674" s="11">
        <f>VLOOKUP(A674,[1]HD_price_daily!$A$8:$B$1768,2,0)</f>
        <v>275.57</v>
      </c>
      <c r="C674">
        <f t="shared" si="40"/>
        <v>2.0743045523576642E-2</v>
      </c>
      <c r="D674" s="1" t="str">
        <f t="shared" ca="1" si="41"/>
        <v>=B674/B673-1</v>
      </c>
      <c r="E674" s="8">
        <f>VLOOKUP(A674,'[1]S&amp;P500_DAILY'!$A$8:$B$1768,2,0)</f>
        <v>3545.53</v>
      </c>
      <c r="F674" s="1">
        <f t="shared" si="42"/>
        <v>-1.3998028446696731E-3</v>
      </c>
      <c r="G674" s="1" t="str">
        <f t="shared" ca="1" si="43"/>
        <v>=E674/E673-1</v>
      </c>
    </row>
    <row r="675" spans="1:7">
      <c r="A675" s="14">
        <v>44146</v>
      </c>
      <c r="B675" s="11">
        <f>VLOOKUP(A675,[1]HD_price_daily!$A$8:$B$1768,2,0)</f>
        <v>277.75</v>
      </c>
      <c r="C675">
        <f t="shared" si="40"/>
        <v>7.9108756395833701E-3</v>
      </c>
      <c r="D675" s="1" t="str">
        <f t="shared" ca="1" si="41"/>
        <v>=B675/B674-1</v>
      </c>
      <c r="E675" s="8">
        <f>VLOOKUP(A675,'[1]S&amp;P500_DAILY'!$A$8:$B$1768,2,0)</f>
        <v>3572.66</v>
      </c>
      <c r="F675" s="1">
        <f t="shared" si="42"/>
        <v>7.6518884341691962E-3</v>
      </c>
      <c r="G675" s="1" t="str">
        <f t="shared" ca="1" si="43"/>
        <v>=E675/E674-1</v>
      </c>
    </row>
    <row r="676" spans="1:7">
      <c r="A676" s="14">
        <v>44147</v>
      </c>
      <c r="B676" s="11">
        <f>VLOOKUP(A676,[1]HD_price_daily!$A$8:$B$1768,2,0)</f>
        <v>276.24</v>
      </c>
      <c r="C676">
        <f t="shared" si="40"/>
        <v>-5.4365436543654111E-3</v>
      </c>
      <c r="D676" s="1" t="str">
        <f t="shared" ca="1" si="41"/>
        <v>=B676/B675-1</v>
      </c>
      <c r="E676" s="8">
        <f>VLOOKUP(A676,'[1]S&amp;P500_DAILY'!$A$8:$B$1768,2,0)</f>
        <v>3537.01</v>
      </c>
      <c r="F676" s="1">
        <f t="shared" si="42"/>
        <v>-9.9785593927212979E-3</v>
      </c>
      <c r="G676" s="1" t="str">
        <f t="shared" ca="1" si="43"/>
        <v>=E676/E675-1</v>
      </c>
    </row>
    <row r="677" spans="1:7">
      <c r="A677" s="14">
        <v>44148</v>
      </c>
      <c r="B677" s="11">
        <f>VLOOKUP(A677,[1]HD_price_daily!$A$8:$B$1768,2,0)</f>
        <v>277.17</v>
      </c>
      <c r="C677">
        <f t="shared" si="40"/>
        <v>3.3666377063423791E-3</v>
      </c>
      <c r="D677" s="1" t="str">
        <f t="shared" ca="1" si="41"/>
        <v>=B677/B676-1</v>
      </c>
      <c r="E677" s="8">
        <f>VLOOKUP(A677,'[1]S&amp;P500_DAILY'!$A$8:$B$1768,2,0)</f>
        <v>3585.15</v>
      </c>
      <c r="F677" s="1">
        <f t="shared" si="42"/>
        <v>1.3610365817456005E-2</v>
      </c>
      <c r="G677" s="1" t="str">
        <f t="shared" ca="1" si="43"/>
        <v>=E677/E676-1</v>
      </c>
    </row>
    <row r="678" spans="1:7">
      <c r="A678" s="14">
        <v>44151</v>
      </c>
      <c r="B678" s="11">
        <f>VLOOKUP(A678,[1]HD_price_daily!$A$8:$B$1768,2,0)</f>
        <v>279.57</v>
      </c>
      <c r="C678">
        <f t="shared" si="40"/>
        <v>8.6589457733519115E-3</v>
      </c>
      <c r="D678" s="1" t="str">
        <f t="shared" ca="1" si="41"/>
        <v>=B678/B677-1</v>
      </c>
      <c r="E678" s="8">
        <f>VLOOKUP(A678,'[1]S&amp;P500_DAILY'!$A$8:$B$1768,2,0)</f>
        <v>3626.91</v>
      </c>
      <c r="F678" s="1">
        <f t="shared" si="42"/>
        <v>1.1648048198820149E-2</v>
      </c>
      <c r="G678" s="1" t="str">
        <f t="shared" ca="1" si="43"/>
        <v>=E678/E677-1</v>
      </c>
    </row>
    <row r="679" spans="1:7">
      <c r="A679" s="14">
        <v>44152</v>
      </c>
      <c r="B679" s="11">
        <f>VLOOKUP(A679,[1]HD_price_daily!$A$8:$B$1768,2,0)</f>
        <v>272.47000000000003</v>
      </c>
      <c r="C679">
        <f t="shared" si="40"/>
        <v>-2.5396144078405958E-2</v>
      </c>
      <c r="D679" s="1" t="str">
        <f t="shared" ca="1" si="41"/>
        <v>=B679/B678-1</v>
      </c>
      <c r="E679" s="8">
        <f>VLOOKUP(A679,'[1]S&amp;P500_DAILY'!$A$8:$B$1768,2,0)</f>
        <v>3609.53</v>
      </c>
      <c r="F679" s="1">
        <f t="shared" si="42"/>
        <v>-4.7919578925310624E-3</v>
      </c>
      <c r="G679" s="1" t="str">
        <f t="shared" ca="1" si="43"/>
        <v>=E679/E678-1</v>
      </c>
    </row>
    <row r="680" spans="1:7">
      <c r="A680" s="14">
        <v>44153</v>
      </c>
      <c r="B680" s="11">
        <f>VLOOKUP(A680,[1]HD_price_daily!$A$8:$B$1768,2,0)</f>
        <v>269.83</v>
      </c>
      <c r="C680">
        <f t="shared" si="40"/>
        <v>-9.6891400888172718E-3</v>
      </c>
      <c r="D680" s="1" t="str">
        <f t="shared" ca="1" si="41"/>
        <v>=B680/B679-1</v>
      </c>
      <c r="E680" s="8">
        <f>VLOOKUP(A680,'[1]S&amp;P500_DAILY'!$A$8:$B$1768,2,0)</f>
        <v>3567.79</v>
      </c>
      <c r="F680" s="1">
        <f t="shared" si="42"/>
        <v>-1.156383241031389E-2</v>
      </c>
      <c r="G680" s="1" t="str">
        <f t="shared" ca="1" si="43"/>
        <v>=E680/E679-1</v>
      </c>
    </row>
    <row r="681" spans="1:7">
      <c r="A681" s="14">
        <v>44154</v>
      </c>
      <c r="B681" s="11">
        <f>VLOOKUP(A681,[1]HD_price_daily!$A$8:$B$1768,2,0)</f>
        <v>270.93</v>
      </c>
      <c r="C681">
        <f t="shared" si="40"/>
        <v>4.0766408479413485E-3</v>
      </c>
      <c r="D681" s="1" t="str">
        <f t="shared" ca="1" si="41"/>
        <v>=B681/B680-1</v>
      </c>
      <c r="E681" s="8">
        <f>VLOOKUP(A681,'[1]S&amp;P500_DAILY'!$A$8:$B$1768,2,0)</f>
        <v>3581.87</v>
      </c>
      <c r="F681" s="1">
        <f t="shared" si="42"/>
        <v>3.9464206133208446E-3</v>
      </c>
      <c r="G681" s="1" t="str">
        <f t="shared" ca="1" si="43"/>
        <v>=E681/E680-1</v>
      </c>
    </row>
    <row r="682" spans="1:7">
      <c r="A682" s="14">
        <v>44155</v>
      </c>
      <c r="B682" s="11">
        <f>VLOOKUP(A682,[1]HD_price_daily!$A$8:$B$1768,2,0)</f>
        <v>269.81</v>
      </c>
      <c r="C682">
        <f t="shared" si="40"/>
        <v>-4.1339091278189688E-3</v>
      </c>
      <c r="D682" s="1" t="str">
        <f t="shared" ca="1" si="41"/>
        <v>=B682/B681-1</v>
      </c>
      <c r="E682" s="8">
        <f>VLOOKUP(A682,'[1]S&amp;P500_DAILY'!$A$8:$B$1768,2,0)</f>
        <v>3557.54</v>
      </c>
      <c r="F682" s="1">
        <f t="shared" si="42"/>
        <v>-6.7925413261787915E-3</v>
      </c>
      <c r="G682" s="1" t="str">
        <f t="shared" ca="1" si="43"/>
        <v>=E682/E681-1</v>
      </c>
    </row>
    <row r="683" spans="1:7">
      <c r="A683" s="14">
        <v>44158</v>
      </c>
      <c r="B683" s="11">
        <f>VLOOKUP(A683,[1]HD_price_daily!$A$8:$B$1768,2,0)</f>
        <v>271.39999999999998</v>
      </c>
      <c r="C683">
        <f t="shared" si="40"/>
        <v>5.893035840035532E-3</v>
      </c>
      <c r="D683" s="1" t="str">
        <f t="shared" ca="1" si="41"/>
        <v>=B683/B682-1</v>
      </c>
      <c r="E683" s="8">
        <f>VLOOKUP(A683,'[1]S&amp;P500_DAILY'!$A$8:$B$1768,2,0)</f>
        <v>3577.59</v>
      </c>
      <c r="F683" s="1">
        <f t="shared" si="42"/>
        <v>5.6359169538502396E-3</v>
      </c>
      <c r="G683" s="1" t="str">
        <f t="shared" ca="1" si="43"/>
        <v>=E683/E682-1</v>
      </c>
    </row>
    <row r="684" spans="1:7">
      <c r="A684" s="14">
        <v>44159</v>
      </c>
      <c r="B684" s="11">
        <f>VLOOKUP(A684,[1]HD_price_daily!$A$8:$B$1768,2,0)</f>
        <v>273.31</v>
      </c>
      <c r="C684">
        <f t="shared" si="40"/>
        <v>7.0375829034636794E-3</v>
      </c>
      <c r="D684" s="1" t="str">
        <f t="shared" ca="1" si="41"/>
        <v>=B684/B683-1</v>
      </c>
      <c r="E684" s="8">
        <f>VLOOKUP(A684,'[1]S&amp;P500_DAILY'!$A$8:$B$1768,2,0)</f>
        <v>3635.41</v>
      </c>
      <c r="F684" s="1">
        <f t="shared" si="42"/>
        <v>1.6161717804443754E-2</v>
      </c>
      <c r="G684" s="1" t="str">
        <f t="shared" ca="1" si="43"/>
        <v>=E684/E683-1</v>
      </c>
    </row>
    <row r="685" spans="1:7">
      <c r="A685" s="14">
        <v>44160</v>
      </c>
      <c r="B685" s="11">
        <f>VLOOKUP(A685,[1]HD_price_daily!$A$8:$B$1768,2,0)</f>
        <v>273.95999999999998</v>
      </c>
      <c r="C685">
        <f t="shared" si="40"/>
        <v>2.3782518019830334E-3</v>
      </c>
      <c r="D685" s="1" t="str">
        <f t="shared" ca="1" si="41"/>
        <v>=B685/B684-1</v>
      </c>
      <c r="E685" s="8">
        <f>VLOOKUP(A685,'[1]S&amp;P500_DAILY'!$A$8:$B$1768,2,0)</f>
        <v>3629.65</v>
      </c>
      <c r="F685" s="1">
        <f t="shared" si="42"/>
        <v>-1.5844155129681736E-3</v>
      </c>
      <c r="G685" s="1" t="str">
        <f t="shared" ca="1" si="43"/>
        <v>=E685/E684-1</v>
      </c>
    </row>
    <row r="686" spans="1:7">
      <c r="A686" s="14">
        <v>44162</v>
      </c>
      <c r="B686" s="11">
        <f>VLOOKUP(A686,[1]HD_price_daily!$A$8:$B$1768,2,0)</f>
        <v>275.99</v>
      </c>
      <c r="C686">
        <f t="shared" si="40"/>
        <v>7.4098408526792614E-3</v>
      </c>
      <c r="D686" s="1" t="str">
        <f t="shared" ca="1" si="41"/>
        <v>=B686/B685-1</v>
      </c>
      <c r="E686" s="8">
        <f>VLOOKUP(A686,'[1]S&amp;P500_DAILY'!$A$8:$B$1768,2,0)</f>
        <v>3638.35</v>
      </c>
      <c r="F686" s="1">
        <f t="shared" si="42"/>
        <v>2.3969253233782073E-3</v>
      </c>
      <c r="G686" s="1" t="str">
        <f t="shared" ca="1" si="43"/>
        <v>=E686/E685-1</v>
      </c>
    </row>
    <row r="687" spans="1:7">
      <c r="A687" s="14">
        <v>44165</v>
      </c>
      <c r="B687" s="11">
        <f>VLOOKUP(A687,[1]HD_price_daily!$A$8:$B$1768,2,0)</f>
        <v>277.41000000000003</v>
      </c>
      <c r="C687">
        <f t="shared" si="40"/>
        <v>5.1451139534042234E-3</v>
      </c>
      <c r="D687" s="1" t="str">
        <f t="shared" ca="1" si="41"/>
        <v>=B687/B686-1</v>
      </c>
      <c r="E687" s="8">
        <f>VLOOKUP(A687,'[1]S&amp;P500_DAILY'!$A$8:$B$1768,2,0)</f>
        <v>3621.63</v>
      </c>
      <c r="F687" s="1">
        <f t="shared" si="42"/>
        <v>-4.5954897137437944E-3</v>
      </c>
      <c r="G687" s="1" t="str">
        <f t="shared" ca="1" si="43"/>
        <v>=E687/E686-1</v>
      </c>
    </row>
    <row r="688" spans="1:7">
      <c r="A688" s="14">
        <v>44166</v>
      </c>
      <c r="B688" s="11">
        <f>VLOOKUP(A688,[1]HD_price_daily!$A$8:$B$1768,2,0)</f>
        <v>276.60000000000002</v>
      </c>
      <c r="C688">
        <f t="shared" si="40"/>
        <v>-2.9198659024548546E-3</v>
      </c>
      <c r="D688" s="1" t="str">
        <f t="shared" ca="1" si="41"/>
        <v>=B688/B687-1</v>
      </c>
      <c r="E688" s="8">
        <f>VLOOKUP(A688,'[1]S&amp;P500_DAILY'!$A$8:$B$1768,2,0)</f>
        <v>3662.45</v>
      </c>
      <c r="F688" s="1">
        <f t="shared" si="42"/>
        <v>1.1271167954760575E-2</v>
      </c>
      <c r="G688" s="1" t="str">
        <f t="shared" ca="1" si="43"/>
        <v>=E688/E687-1</v>
      </c>
    </row>
    <row r="689" spans="1:7">
      <c r="A689" s="14">
        <v>44167</v>
      </c>
      <c r="B689" s="11">
        <f>VLOOKUP(A689,[1]HD_price_daily!$A$8:$B$1768,2,0)</f>
        <v>271.10000000000002</v>
      </c>
      <c r="C689">
        <f t="shared" si="40"/>
        <v>-1.988430947216191E-2</v>
      </c>
      <c r="D689" s="1" t="str">
        <f t="shared" ca="1" si="41"/>
        <v>=B689/B688-1</v>
      </c>
      <c r="E689" s="8">
        <f>VLOOKUP(A689,'[1]S&amp;P500_DAILY'!$A$8:$B$1768,2,0)</f>
        <v>3669.01</v>
      </c>
      <c r="F689" s="1">
        <f t="shared" si="42"/>
        <v>1.7911507324332998E-3</v>
      </c>
      <c r="G689" s="1" t="str">
        <f t="shared" ca="1" si="43"/>
        <v>=E689/E688-1</v>
      </c>
    </row>
    <row r="690" spans="1:7">
      <c r="A690" s="14">
        <v>44168</v>
      </c>
      <c r="B690" s="11">
        <f>VLOOKUP(A690,[1]HD_price_daily!$A$8:$B$1768,2,0)</f>
        <v>268.14</v>
      </c>
      <c r="C690">
        <f t="shared" si="40"/>
        <v>-1.091848026558484E-2</v>
      </c>
      <c r="D690" s="1" t="str">
        <f t="shared" ca="1" si="41"/>
        <v>=B690/B689-1</v>
      </c>
      <c r="E690" s="8">
        <f>VLOOKUP(A690,'[1]S&amp;P500_DAILY'!$A$8:$B$1768,2,0)</f>
        <v>3666.72</v>
      </c>
      <c r="F690" s="1">
        <f t="shared" si="42"/>
        <v>-6.241465681479097E-4</v>
      </c>
      <c r="G690" s="1" t="str">
        <f t="shared" ca="1" si="43"/>
        <v>=E690/E689-1</v>
      </c>
    </row>
    <row r="691" spans="1:7">
      <c r="A691" s="14">
        <v>44169</v>
      </c>
      <c r="B691" s="11">
        <f>VLOOKUP(A691,[1]HD_price_daily!$A$8:$B$1768,2,0)</f>
        <v>263.99</v>
      </c>
      <c r="C691">
        <f t="shared" si="40"/>
        <v>-1.5476989632281613E-2</v>
      </c>
      <c r="D691" s="1" t="str">
        <f t="shared" ca="1" si="41"/>
        <v>=B691/B690-1</v>
      </c>
      <c r="E691" s="8">
        <f>VLOOKUP(A691,'[1]S&amp;P500_DAILY'!$A$8:$B$1768,2,0)</f>
        <v>3699.12</v>
      </c>
      <c r="F691" s="1">
        <f t="shared" si="42"/>
        <v>8.8362351093074221E-3</v>
      </c>
      <c r="G691" s="1" t="str">
        <f t="shared" ca="1" si="43"/>
        <v>=E691/E690-1</v>
      </c>
    </row>
    <row r="692" spans="1:7">
      <c r="A692" s="14">
        <v>44172</v>
      </c>
      <c r="B692" s="11">
        <f>VLOOKUP(A692,[1]HD_price_daily!$A$8:$B$1768,2,0)</f>
        <v>262.64</v>
      </c>
      <c r="C692">
        <f t="shared" si="40"/>
        <v>-5.1138300693208683E-3</v>
      </c>
      <c r="D692" s="1" t="str">
        <f t="shared" ca="1" si="41"/>
        <v>=B692/B691-1</v>
      </c>
      <c r="E692" s="8">
        <f>VLOOKUP(A692,'[1]S&amp;P500_DAILY'!$A$8:$B$1768,2,0)</f>
        <v>3691.96</v>
      </c>
      <c r="F692" s="1">
        <f t="shared" si="42"/>
        <v>-1.9355954929820562E-3</v>
      </c>
      <c r="G692" s="1" t="str">
        <f t="shared" ca="1" si="43"/>
        <v>=E692/E691-1</v>
      </c>
    </row>
    <row r="693" spans="1:7">
      <c r="A693" s="14">
        <v>44173</v>
      </c>
      <c r="B693" s="11">
        <f>VLOOKUP(A693,[1]HD_price_daily!$A$8:$B$1768,2,0)</f>
        <v>261.72000000000003</v>
      </c>
      <c r="C693">
        <f t="shared" si="40"/>
        <v>-3.502893694791176E-3</v>
      </c>
      <c r="D693" s="1" t="str">
        <f t="shared" ca="1" si="41"/>
        <v>=B693/B692-1</v>
      </c>
      <c r="E693" s="8">
        <f>VLOOKUP(A693,'[1]S&amp;P500_DAILY'!$A$8:$B$1768,2,0)</f>
        <v>3702.25</v>
      </c>
      <c r="F693" s="1">
        <f t="shared" si="42"/>
        <v>2.7871374554437889E-3</v>
      </c>
      <c r="G693" s="1" t="str">
        <f t="shared" ca="1" si="43"/>
        <v>=E693/E692-1</v>
      </c>
    </row>
    <row r="694" spans="1:7">
      <c r="A694" s="14">
        <v>44174</v>
      </c>
      <c r="B694" s="11">
        <f>VLOOKUP(A694,[1]HD_price_daily!$A$8:$B$1768,2,0)</f>
        <v>265.58</v>
      </c>
      <c r="C694">
        <f t="shared" si="40"/>
        <v>1.4748586275408648E-2</v>
      </c>
      <c r="D694" s="1" t="str">
        <f t="shared" ca="1" si="41"/>
        <v>=B694/B693-1</v>
      </c>
      <c r="E694" s="8">
        <f>VLOOKUP(A694,'[1]S&amp;P500_DAILY'!$A$8:$B$1768,2,0)</f>
        <v>3672.82</v>
      </c>
      <c r="F694" s="1">
        <f t="shared" si="42"/>
        <v>-7.9492200688769943E-3</v>
      </c>
      <c r="G694" s="1" t="str">
        <f t="shared" ca="1" si="43"/>
        <v>=E694/E693-1</v>
      </c>
    </row>
    <row r="695" spans="1:7">
      <c r="A695" s="14">
        <v>44175</v>
      </c>
      <c r="B695" s="11">
        <f>VLOOKUP(A695,[1]HD_price_daily!$A$8:$B$1768,2,0)</f>
        <v>264.81</v>
      </c>
      <c r="C695">
        <f t="shared" si="40"/>
        <v>-2.8993147074327652E-3</v>
      </c>
      <c r="D695" s="1" t="str">
        <f t="shared" ca="1" si="41"/>
        <v>=B695/B694-1</v>
      </c>
      <c r="E695" s="8">
        <f>VLOOKUP(A695,'[1]S&amp;P500_DAILY'!$A$8:$B$1768,2,0)</f>
        <v>3668.1</v>
      </c>
      <c r="F695" s="1">
        <f t="shared" si="42"/>
        <v>-1.2851160688518437E-3</v>
      </c>
      <c r="G695" s="1" t="str">
        <f t="shared" ca="1" si="43"/>
        <v>=E695/E694-1</v>
      </c>
    </row>
    <row r="696" spans="1:7">
      <c r="A696" s="14">
        <v>44176</v>
      </c>
      <c r="B696" s="11">
        <f>VLOOKUP(A696,[1]HD_price_daily!$A$8:$B$1768,2,0)</f>
        <v>264.55</v>
      </c>
      <c r="C696">
        <f t="shared" si="40"/>
        <v>-9.8183603338242165E-4</v>
      </c>
      <c r="D696" s="1" t="str">
        <f t="shared" ca="1" si="41"/>
        <v>=B696/B695-1</v>
      </c>
      <c r="E696" s="8">
        <f>VLOOKUP(A696,'[1]S&amp;P500_DAILY'!$A$8:$B$1768,2,0)</f>
        <v>3663.46</v>
      </c>
      <c r="F696" s="1">
        <f t="shared" si="42"/>
        <v>-1.264960061067022E-3</v>
      </c>
      <c r="G696" s="1" t="str">
        <f t="shared" ca="1" si="43"/>
        <v>=E696/E695-1</v>
      </c>
    </row>
    <row r="697" spans="1:7">
      <c r="A697" s="14">
        <v>44179</v>
      </c>
      <c r="B697" s="11">
        <f>VLOOKUP(A697,[1]HD_price_daily!$A$8:$B$1768,2,0)</f>
        <v>265.58</v>
      </c>
      <c r="C697">
        <f t="shared" si="40"/>
        <v>3.8934038934037574E-3</v>
      </c>
      <c r="D697" s="1" t="str">
        <f t="shared" ca="1" si="41"/>
        <v>=B697/B696-1</v>
      </c>
      <c r="E697" s="8">
        <f>VLOOKUP(A697,'[1]S&amp;P500_DAILY'!$A$8:$B$1768,2,0)</f>
        <v>3647.49</v>
      </c>
      <c r="F697" s="1">
        <f t="shared" si="42"/>
        <v>-4.359266922526861E-3</v>
      </c>
      <c r="G697" s="1" t="str">
        <f t="shared" ca="1" si="43"/>
        <v>=E697/E696-1</v>
      </c>
    </row>
    <row r="698" spans="1:7">
      <c r="A698" s="14">
        <v>44180</v>
      </c>
      <c r="B698" s="11">
        <f>VLOOKUP(A698,[1]HD_price_daily!$A$8:$B$1768,2,0)</f>
        <v>267.98</v>
      </c>
      <c r="C698">
        <f t="shared" si="40"/>
        <v>9.0368250621282176E-3</v>
      </c>
      <c r="D698" s="1" t="str">
        <f t="shared" ca="1" si="41"/>
        <v>=B698/B697-1</v>
      </c>
      <c r="E698" s="8">
        <f>VLOOKUP(A698,'[1]S&amp;P500_DAILY'!$A$8:$B$1768,2,0)</f>
        <v>3694.62</v>
      </c>
      <c r="F698" s="1">
        <f t="shared" si="42"/>
        <v>1.2921214314501217E-2</v>
      </c>
      <c r="G698" s="1" t="str">
        <f t="shared" ca="1" si="43"/>
        <v>=E698/E697-1</v>
      </c>
    </row>
    <row r="699" spans="1:7">
      <c r="A699" s="14">
        <v>44181</v>
      </c>
      <c r="B699" s="11">
        <f>VLOOKUP(A699,[1]HD_price_daily!$A$8:$B$1768,2,0)</f>
        <v>269.58999999999997</v>
      </c>
      <c r="C699">
        <f t="shared" si="40"/>
        <v>6.007911038137026E-3</v>
      </c>
      <c r="D699" s="1" t="str">
        <f t="shared" ca="1" si="41"/>
        <v>=B699/B698-1</v>
      </c>
      <c r="E699" s="8">
        <f>VLOOKUP(A699,'[1]S&amp;P500_DAILY'!$A$8:$B$1768,2,0)</f>
        <v>3701.17</v>
      </c>
      <c r="F699" s="1">
        <f t="shared" si="42"/>
        <v>1.7728480872187813E-3</v>
      </c>
      <c r="G699" s="1" t="str">
        <f t="shared" ca="1" si="43"/>
        <v>=E699/E698-1</v>
      </c>
    </row>
    <row r="700" spans="1:7">
      <c r="A700" s="14">
        <v>44182</v>
      </c>
      <c r="B700" s="11">
        <f>VLOOKUP(A700,[1]HD_price_daily!$A$8:$B$1768,2,0)</f>
        <v>273.97000000000003</v>
      </c>
      <c r="C700">
        <f t="shared" si="40"/>
        <v>1.6246893430765352E-2</v>
      </c>
      <c r="D700" s="1" t="str">
        <f t="shared" ca="1" si="41"/>
        <v>=B700/B699-1</v>
      </c>
      <c r="E700" s="8">
        <f>VLOOKUP(A700,'[1]S&amp;P500_DAILY'!$A$8:$B$1768,2,0)</f>
        <v>3722.48</v>
      </c>
      <c r="F700" s="1">
        <f t="shared" si="42"/>
        <v>5.7576388007034573E-3</v>
      </c>
      <c r="G700" s="1" t="str">
        <f t="shared" ca="1" si="43"/>
        <v>=E700/E699-1</v>
      </c>
    </row>
    <row r="701" spans="1:7">
      <c r="A701" s="14">
        <v>44183</v>
      </c>
      <c r="B701" s="11">
        <f>VLOOKUP(A701,[1]HD_price_daily!$A$8:$B$1768,2,0)</f>
        <v>270.45</v>
      </c>
      <c r="C701">
        <f t="shared" si="40"/>
        <v>-1.2848122057159683E-2</v>
      </c>
      <c r="D701" s="1" t="str">
        <f t="shared" ca="1" si="41"/>
        <v>=B701/B700-1</v>
      </c>
      <c r="E701" s="8">
        <f>VLOOKUP(A701,'[1]S&amp;P500_DAILY'!$A$8:$B$1768,2,0)</f>
        <v>3709.41</v>
      </c>
      <c r="F701" s="1">
        <f t="shared" si="42"/>
        <v>-3.5111001267972286E-3</v>
      </c>
      <c r="G701" s="1" t="str">
        <f t="shared" ca="1" si="43"/>
        <v>=E701/E700-1</v>
      </c>
    </row>
    <row r="702" spans="1:7">
      <c r="A702" s="14">
        <v>44186</v>
      </c>
      <c r="B702" s="11">
        <f>VLOOKUP(A702,[1]HD_price_daily!$A$8:$B$1768,2,0)</f>
        <v>270.99</v>
      </c>
      <c r="C702">
        <f t="shared" si="40"/>
        <v>1.9966722129785008E-3</v>
      </c>
      <c r="D702" s="1" t="str">
        <f t="shared" ca="1" si="41"/>
        <v>=B702/B701-1</v>
      </c>
      <c r="E702" s="8">
        <f>VLOOKUP(A702,'[1]S&amp;P500_DAILY'!$A$8:$B$1768,2,0)</f>
        <v>3694.92</v>
      </c>
      <c r="F702" s="1">
        <f t="shared" si="42"/>
        <v>-3.9062815919512772E-3</v>
      </c>
      <c r="G702" s="1" t="str">
        <f t="shared" ca="1" si="43"/>
        <v>=E702/E701-1</v>
      </c>
    </row>
    <row r="703" spans="1:7">
      <c r="A703" s="14">
        <v>44187</v>
      </c>
      <c r="B703" s="11">
        <f>VLOOKUP(A703,[1]HD_price_daily!$A$8:$B$1768,2,0)</f>
        <v>270.04000000000002</v>
      </c>
      <c r="C703">
        <f t="shared" si="40"/>
        <v>-3.505664415661025E-3</v>
      </c>
      <c r="D703" s="1" t="str">
        <f t="shared" ca="1" si="41"/>
        <v>=B703/B702-1</v>
      </c>
      <c r="E703" s="8">
        <f>VLOOKUP(A703,'[1]S&amp;P500_DAILY'!$A$8:$B$1768,2,0)</f>
        <v>3687.26</v>
      </c>
      <c r="F703" s="1">
        <f t="shared" si="42"/>
        <v>-2.0731166033364223E-3</v>
      </c>
      <c r="G703" s="1" t="str">
        <f t="shared" ca="1" si="43"/>
        <v>=E703/E702-1</v>
      </c>
    </row>
    <row r="704" spans="1:7">
      <c r="A704" s="14">
        <v>44188</v>
      </c>
      <c r="B704" s="11">
        <f>VLOOKUP(A704,[1]HD_price_daily!$A$8:$B$1768,2,0)</f>
        <v>269.81</v>
      </c>
      <c r="C704">
        <f t="shared" si="40"/>
        <v>-8.5172567027114177E-4</v>
      </c>
      <c r="D704" s="1" t="str">
        <f t="shared" ca="1" si="41"/>
        <v>=B704/B703-1</v>
      </c>
      <c r="E704" s="8">
        <f>VLOOKUP(A704,'[1]S&amp;P500_DAILY'!$A$8:$B$1768,2,0)</f>
        <v>3690.01</v>
      </c>
      <c r="F704" s="1">
        <f t="shared" si="42"/>
        <v>7.4581125280026583E-4</v>
      </c>
      <c r="G704" s="1" t="str">
        <f t="shared" ca="1" si="43"/>
        <v>=E704/E703-1</v>
      </c>
    </row>
    <row r="705" spans="1:7">
      <c r="A705" s="14">
        <v>44189</v>
      </c>
      <c r="B705" s="11">
        <f>VLOOKUP(A705,[1]HD_price_daily!$A$8:$B$1768,2,0)</f>
        <v>270.92</v>
      </c>
      <c r="C705">
        <f t="shared" si="40"/>
        <v>4.1140061524778115E-3</v>
      </c>
      <c r="D705" s="1" t="str">
        <f t="shared" ca="1" si="41"/>
        <v>=B705/B704-1</v>
      </c>
      <c r="E705" s="8">
        <f>VLOOKUP(A705,'[1]S&amp;P500_DAILY'!$A$8:$B$1768,2,0)</f>
        <v>3703.06</v>
      </c>
      <c r="F705" s="1">
        <f t="shared" si="42"/>
        <v>3.5365757816374632E-3</v>
      </c>
      <c r="G705" s="1" t="str">
        <f t="shared" ca="1" si="43"/>
        <v>=E705/E704-1</v>
      </c>
    </row>
    <row r="706" spans="1:7">
      <c r="A706" s="14">
        <v>44193</v>
      </c>
      <c r="B706" s="11">
        <f>VLOOKUP(A706,[1]HD_price_daily!$A$8:$B$1768,2,0)</f>
        <v>269.25</v>
      </c>
      <c r="C706">
        <f t="shared" si="40"/>
        <v>-6.1641813081353414E-3</v>
      </c>
      <c r="D706" s="1" t="str">
        <f t="shared" ca="1" si="41"/>
        <v>=B706/B705-1</v>
      </c>
      <c r="E706" s="8">
        <f>VLOOKUP(A706,'[1]S&amp;P500_DAILY'!$A$8:$B$1768,2,0)</f>
        <v>3735.36</v>
      </c>
      <c r="F706" s="1">
        <f t="shared" si="42"/>
        <v>8.7225159732762236E-3</v>
      </c>
      <c r="G706" s="1" t="str">
        <f t="shared" ca="1" si="43"/>
        <v>=E706/E705-1</v>
      </c>
    </row>
    <row r="707" spans="1:7">
      <c r="A707" s="14">
        <v>44194</v>
      </c>
      <c r="B707" s="11">
        <f>VLOOKUP(A707,[1]HD_price_daily!$A$8:$B$1768,2,0)</f>
        <v>266.19</v>
      </c>
      <c r="C707">
        <f t="shared" si="40"/>
        <v>-1.1364902506963759E-2</v>
      </c>
      <c r="D707" s="1" t="str">
        <f t="shared" ca="1" si="41"/>
        <v>=B707/B706-1</v>
      </c>
      <c r="E707" s="8">
        <f>VLOOKUP(A707,'[1]S&amp;P500_DAILY'!$A$8:$B$1768,2,0)</f>
        <v>3727.04</v>
      </c>
      <c r="F707" s="1">
        <f t="shared" si="42"/>
        <v>-2.2273622890431888E-3</v>
      </c>
      <c r="G707" s="1" t="str">
        <f t="shared" ca="1" si="43"/>
        <v>=E707/E706-1</v>
      </c>
    </row>
    <row r="708" spans="1:7">
      <c r="A708" s="14">
        <v>44195</v>
      </c>
      <c r="B708" s="11">
        <f>VLOOKUP(A708,[1]HD_price_daily!$A$8:$B$1768,2,0)</f>
        <v>265.26</v>
      </c>
      <c r="C708">
        <f t="shared" ref="C708:C771" si="44">B708/B707-1</f>
        <v>-3.493745069311438E-3</v>
      </c>
      <c r="D708" s="1" t="str">
        <f t="shared" ref="D708:D771" ca="1" si="45">_xlfn.FORMULATEXT(C708)</f>
        <v>=B708/B707-1</v>
      </c>
      <c r="E708" s="8">
        <f>VLOOKUP(A708,'[1]S&amp;P500_DAILY'!$A$8:$B$1768,2,0)</f>
        <v>3732.04</v>
      </c>
      <c r="F708" s="1">
        <f t="shared" ref="F708:F771" si="46">E708/E707-1</f>
        <v>1.3415471795312772E-3</v>
      </c>
      <c r="G708" s="1" t="str">
        <f t="shared" ref="G708:G771" ca="1" si="47">_xlfn.FORMULATEXT(F708)</f>
        <v>=E708/E707-1</v>
      </c>
    </row>
    <row r="709" spans="1:7">
      <c r="A709" s="14">
        <v>44196</v>
      </c>
      <c r="B709" s="11">
        <f>VLOOKUP(A709,[1]HD_price_daily!$A$8:$B$1768,2,0)</f>
        <v>265.62</v>
      </c>
      <c r="C709">
        <f t="shared" si="44"/>
        <v>1.3571590137977374E-3</v>
      </c>
      <c r="D709" s="1" t="str">
        <f t="shared" ca="1" si="45"/>
        <v>=B709/B708-1</v>
      </c>
      <c r="E709" s="8">
        <f>VLOOKUP(A709,'[1]S&amp;P500_DAILY'!$A$8:$B$1768,2,0)</f>
        <v>3756.07</v>
      </c>
      <c r="F709" s="1">
        <f t="shared" si="46"/>
        <v>6.4388377402171404E-3</v>
      </c>
      <c r="G709" s="1" t="str">
        <f t="shared" ca="1" si="47"/>
        <v>=E709/E708-1</v>
      </c>
    </row>
    <row r="710" spans="1:7">
      <c r="A710" s="14">
        <v>44200</v>
      </c>
      <c r="B710" s="11">
        <f>VLOOKUP(A710,[1]HD_price_daily!$A$8:$B$1768,2,0)</f>
        <v>263.92</v>
      </c>
      <c r="C710">
        <f t="shared" si="44"/>
        <v>-6.4001204728558747E-3</v>
      </c>
      <c r="D710" s="1" t="str">
        <f t="shared" ca="1" si="45"/>
        <v>=B710/B709-1</v>
      </c>
      <c r="E710" s="8">
        <f>VLOOKUP(A710,'[1]S&amp;P500_DAILY'!$A$8:$B$1768,2,0)</f>
        <v>3700.65</v>
      </c>
      <c r="F710" s="1">
        <f t="shared" si="46"/>
        <v>-1.475478359029514E-2</v>
      </c>
      <c r="G710" s="1" t="str">
        <f t="shared" ca="1" si="47"/>
        <v>=E710/E709-1</v>
      </c>
    </row>
    <row r="711" spans="1:7">
      <c r="A711" s="14">
        <v>44201</v>
      </c>
      <c r="B711" s="11">
        <f>VLOOKUP(A711,[1]HD_price_daily!$A$8:$B$1768,2,0)</f>
        <v>266.05</v>
      </c>
      <c r="C711">
        <f t="shared" si="44"/>
        <v>8.0706274628674635E-3</v>
      </c>
      <c r="D711" s="1" t="str">
        <f t="shared" ca="1" si="45"/>
        <v>=B711/B710-1</v>
      </c>
      <c r="E711" s="8">
        <f>VLOOKUP(A711,'[1]S&amp;P500_DAILY'!$A$8:$B$1768,2,0)</f>
        <v>3726.86</v>
      </c>
      <c r="F711" s="1">
        <f t="shared" si="46"/>
        <v>7.0825395538620661E-3</v>
      </c>
      <c r="G711" s="1" t="str">
        <f t="shared" ca="1" si="47"/>
        <v>=E711/E710-1</v>
      </c>
    </row>
    <row r="712" spans="1:7">
      <c r="A712" s="14">
        <v>44202</v>
      </c>
      <c r="B712" s="11">
        <f>VLOOKUP(A712,[1]HD_price_daily!$A$8:$B$1768,2,0)</f>
        <v>267.57</v>
      </c>
      <c r="C712">
        <f t="shared" si="44"/>
        <v>5.7132118022926726E-3</v>
      </c>
      <c r="D712" s="1" t="str">
        <f t="shared" ca="1" si="45"/>
        <v>=B712/B711-1</v>
      </c>
      <c r="E712" s="8">
        <f>VLOOKUP(A712,'[1]S&amp;P500_DAILY'!$A$8:$B$1768,2,0)</f>
        <v>3748.14</v>
      </c>
      <c r="F712" s="1">
        <f t="shared" si="46"/>
        <v>5.7099005597205377E-3</v>
      </c>
      <c r="G712" s="1" t="str">
        <f t="shared" ca="1" si="47"/>
        <v>=E712/E711-1</v>
      </c>
    </row>
    <row r="713" spans="1:7">
      <c r="A713" s="14">
        <v>44203</v>
      </c>
      <c r="B713" s="11">
        <f>VLOOKUP(A713,[1]HD_price_daily!$A$8:$B$1768,2,0)</f>
        <v>266.26</v>
      </c>
      <c r="C713">
        <f t="shared" si="44"/>
        <v>-4.8959150876406454E-3</v>
      </c>
      <c r="D713" s="1" t="str">
        <f t="shared" ca="1" si="45"/>
        <v>=B713/B712-1</v>
      </c>
      <c r="E713" s="8">
        <f>VLOOKUP(A713,'[1]S&amp;P500_DAILY'!$A$8:$B$1768,2,0)</f>
        <v>3803.79</v>
      </c>
      <c r="F713" s="1">
        <f t="shared" si="46"/>
        <v>1.484736429268918E-2</v>
      </c>
      <c r="G713" s="1" t="str">
        <f t="shared" ca="1" si="47"/>
        <v>=E713/E712-1</v>
      </c>
    </row>
    <row r="714" spans="1:7">
      <c r="A714" s="14">
        <v>44204</v>
      </c>
      <c r="B714" s="11">
        <f>VLOOKUP(A714,[1]HD_price_daily!$A$8:$B$1768,2,0)</f>
        <v>269.08999999999997</v>
      </c>
      <c r="C714">
        <f t="shared" si="44"/>
        <v>1.0628708780890728E-2</v>
      </c>
      <c r="D714" s="1" t="str">
        <f t="shared" ca="1" si="45"/>
        <v>=B714/B713-1</v>
      </c>
      <c r="E714" s="8">
        <f>VLOOKUP(A714,'[1]S&amp;P500_DAILY'!$A$8:$B$1768,2,0)</f>
        <v>3824.68</v>
      </c>
      <c r="F714" s="1">
        <f t="shared" si="46"/>
        <v>5.4918909824148709E-3</v>
      </c>
      <c r="G714" s="1" t="str">
        <f t="shared" ca="1" si="47"/>
        <v>=E714/E713-1</v>
      </c>
    </row>
    <row r="715" spans="1:7">
      <c r="A715" s="14">
        <v>44207</v>
      </c>
      <c r="B715" s="11">
        <f>VLOOKUP(A715,[1]HD_price_daily!$A$8:$B$1768,2,0)</f>
        <v>271.23</v>
      </c>
      <c r="C715">
        <f t="shared" si="44"/>
        <v>7.9527295700325684E-3</v>
      </c>
      <c r="D715" s="1" t="str">
        <f t="shared" ca="1" si="45"/>
        <v>=B715/B714-1</v>
      </c>
      <c r="E715" s="8">
        <f>VLOOKUP(A715,'[1]S&amp;P500_DAILY'!$A$8:$B$1768,2,0)</f>
        <v>3799.61</v>
      </c>
      <c r="F715" s="1">
        <f t="shared" si="46"/>
        <v>-6.5547967411652142E-3</v>
      </c>
      <c r="G715" s="1" t="str">
        <f t="shared" ca="1" si="47"/>
        <v>=E715/E714-1</v>
      </c>
    </row>
    <row r="716" spans="1:7">
      <c r="A716" s="14">
        <v>44208</v>
      </c>
      <c r="B716" s="11">
        <f>VLOOKUP(A716,[1]HD_price_daily!$A$8:$B$1768,2,0)</f>
        <v>276.33</v>
      </c>
      <c r="C716">
        <f t="shared" si="44"/>
        <v>1.8803229731224391E-2</v>
      </c>
      <c r="D716" s="1" t="str">
        <f t="shared" ca="1" si="45"/>
        <v>=B716/B715-1</v>
      </c>
      <c r="E716" s="8">
        <f>VLOOKUP(A716,'[1]S&amp;P500_DAILY'!$A$8:$B$1768,2,0)</f>
        <v>3801.19</v>
      </c>
      <c r="F716" s="1">
        <f t="shared" si="46"/>
        <v>4.1583215119445072E-4</v>
      </c>
      <c r="G716" s="1" t="str">
        <f t="shared" ca="1" si="47"/>
        <v>=E716/E715-1</v>
      </c>
    </row>
    <row r="717" spans="1:7">
      <c r="A717" s="14">
        <v>44209</v>
      </c>
      <c r="B717" s="11">
        <f>VLOOKUP(A717,[1]HD_price_daily!$A$8:$B$1768,2,0)</f>
        <v>274.05</v>
      </c>
      <c r="C717">
        <f t="shared" si="44"/>
        <v>-8.2510042340678824E-3</v>
      </c>
      <c r="D717" s="1" t="str">
        <f t="shared" ca="1" si="45"/>
        <v>=B717/B716-1</v>
      </c>
      <c r="E717" s="8">
        <f>VLOOKUP(A717,'[1]S&amp;P500_DAILY'!$A$8:$B$1768,2,0)</f>
        <v>3809.84</v>
      </c>
      <c r="F717" s="1">
        <f t="shared" si="46"/>
        <v>2.2756031663768717E-3</v>
      </c>
      <c r="G717" s="1" t="str">
        <f t="shared" ca="1" si="47"/>
        <v>=E717/E716-1</v>
      </c>
    </row>
    <row r="718" spans="1:7">
      <c r="A718" s="14">
        <v>44210</v>
      </c>
      <c r="B718" s="11">
        <f>VLOOKUP(A718,[1]HD_price_daily!$A$8:$B$1768,2,0)</f>
        <v>268.33999999999997</v>
      </c>
      <c r="C718">
        <f t="shared" si="44"/>
        <v>-2.0835613939062303E-2</v>
      </c>
      <c r="D718" s="1" t="str">
        <f t="shared" ca="1" si="45"/>
        <v>=B718/B717-1</v>
      </c>
      <c r="E718" s="8">
        <f>VLOOKUP(A718,'[1]S&amp;P500_DAILY'!$A$8:$B$1768,2,0)</f>
        <v>3795.54</v>
      </c>
      <c r="F718" s="1">
        <f t="shared" si="46"/>
        <v>-3.753438464607517E-3</v>
      </c>
      <c r="G718" s="1" t="str">
        <f t="shared" ca="1" si="47"/>
        <v>=E718/E717-1</v>
      </c>
    </row>
    <row r="719" spans="1:7">
      <c r="A719" s="14">
        <v>44211</v>
      </c>
      <c r="B719" s="11">
        <f>VLOOKUP(A719,[1]HD_price_daily!$A$8:$B$1768,2,0)</f>
        <v>275.58999999999997</v>
      </c>
      <c r="C719">
        <f t="shared" si="44"/>
        <v>2.701796228665132E-2</v>
      </c>
      <c r="D719" s="1" t="str">
        <f t="shared" ca="1" si="45"/>
        <v>=B719/B718-1</v>
      </c>
      <c r="E719" s="8">
        <f>VLOOKUP(A719,'[1]S&amp;P500_DAILY'!$A$8:$B$1768,2,0)</f>
        <v>3768.25</v>
      </c>
      <c r="F719" s="1">
        <f t="shared" si="46"/>
        <v>-7.1900177576840196E-3</v>
      </c>
      <c r="G719" s="1" t="str">
        <f t="shared" ca="1" si="47"/>
        <v>=E719/E718-1</v>
      </c>
    </row>
    <row r="720" spans="1:7">
      <c r="A720" s="14">
        <v>44215</v>
      </c>
      <c r="B720" s="11">
        <f>VLOOKUP(A720,[1]HD_price_daily!$A$8:$B$1768,2,0)</f>
        <v>273.19</v>
      </c>
      <c r="C720">
        <f t="shared" si="44"/>
        <v>-8.7085888457489879E-3</v>
      </c>
      <c r="D720" s="1" t="str">
        <f t="shared" ca="1" si="45"/>
        <v>=B720/B719-1</v>
      </c>
      <c r="E720" s="8">
        <f>VLOOKUP(A720,'[1]S&amp;P500_DAILY'!$A$8:$B$1768,2,0)</f>
        <v>3798.91</v>
      </c>
      <c r="F720" s="1">
        <f t="shared" si="46"/>
        <v>8.136402839514334E-3</v>
      </c>
      <c r="G720" s="1" t="str">
        <f t="shared" ca="1" si="47"/>
        <v>=E720/E719-1</v>
      </c>
    </row>
    <row r="721" spans="1:7">
      <c r="A721" s="14">
        <v>44216</v>
      </c>
      <c r="B721" s="11">
        <f>VLOOKUP(A721,[1]HD_price_daily!$A$8:$B$1768,2,0)</f>
        <v>274.3</v>
      </c>
      <c r="C721">
        <f t="shared" si="44"/>
        <v>4.0631062630405168E-3</v>
      </c>
      <c r="D721" s="1" t="str">
        <f t="shared" ca="1" si="45"/>
        <v>=B721/B720-1</v>
      </c>
      <c r="E721" s="8">
        <f>VLOOKUP(A721,'[1]S&amp;P500_DAILY'!$A$8:$B$1768,2,0)</f>
        <v>3851.85</v>
      </c>
      <c r="F721" s="1">
        <f t="shared" si="46"/>
        <v>1.3935576257400273E-2</v>
      </c>
      <c r="G721" s="1" t="str">
        <f t="shared" ca="1" si="47"/>
        <v>=E721/E720-1</v>
      </c>
    </row>
    <row r="722" spans="1:7">
      <c r="A722" s="14">
        <v>44217</v>
      </c>
      <c r="B722" s="11">
        <f>VLOOKUP(A722,[1]HD_price_daily!$A$8:$B$1768,2,0)</f>
        <v>279.05</v>
      </c>
      <c r="C722">
        <f t="shared" si="44"/>
        <v>1.7316806416332486E-2</v>
      </c>
      <c r="D722" s="1" t="str">
        <f t="shared" ca="1" si="45"/>
        <v>=B722/B721-1</v>
      </c>
      <c r="E722" s="8">
        <f>VLOOKUP(A722,'[1]S&amp;P500_DAILY'!$A$8:$B$1768,2,0)</f>
        <v>3853.07</v>
      </c>
      <c r="F722" s="1">
        <f t="shared" si="46"/>
        <v>3.167309215053038E-4</v>
      </c>
      <c r="G722" s="1" t="str">
        <f t="shared" ca="1" si="47"/>
        <v>=E722/E721-1</v>
      </c>
    </row>
    <row r="723" spans="1:7">
      <c r="A723" s="14">
        <v>44218</v>
      </c>
      <c r="B723" s="11">
        <f>VLOOKUP(A723,[1]HD_price_daily!$A$8:$B$1768,2,0)</f>
        <v>284</v>
      </c>
      <c r="C723">
        <f t="shared" si="44"/>
        <v>1.7738756495251806E-2</v>
      </c>
      <c r="D723" s="1" t="str">
        <f t="shared" ca="1" si="45"/>
        <v>=B723/B722-1</v>
      </c>
      <c r="E723" s="8">
        <f>VLOOKUP(A723,'[1]S&amp;P500_DAILY'!$A$8:$B$1768,2,0)</f>
        <v>3841.47</v>
      </c>
      <c r="F723" s="1">
        <f t="shared" si="46"/>
        <v>-3.0105863636010755E-3</v>
      </c>
      <c r="G723" s="1" t="str">
        <f t="shared" ca="1" si="47"/>
        <v>=E723/E722-1</v>
      </c>
    </row>
    <row r="724" spans="1:7">
      <c r="A724" s="14">
        <v>44221</v>
      </c>
      <c r="B724" s="11">
        <f>VLOOKUP(A724,[1]HD_price_daily!$A$8:$B$1768,2,0)</f>
        <v>285.08</v>
      </c>
      <c r="C724">
        <f t="shared" si="44"/>
        <v>3.802816901408379E-3</v>
      </c>
      <c r="D724" s="1" t="str">
        <f t="shared" ca="1" si="45"/>
        <v>=B724/B723-1</v>
      </c>
      <c r="E724" s="8">
        <f>VLOOKUP(A724,'[1]S&amp;P500_DAILY'!$A$8:$B$1768,2,0)</f>
        <v>3855.36</v>
      </c>
      <c r="F724" s="1">
        <f t="shared" si="46"/>
        <v>3.6158033252895461E-3</v>
      </c>
      <c r="G724" s="1" t="str">
        <f t="shared" ca="1" si="47"/>
        <v>=E724/E723-1</v>
      </c>
    </row>
    <row r="725" spans="1:7">
      <c r="A725" s="14">
        <v>44222</v>
      </c>
      <c r="B725" s="11">
        <f>VLOOKUP(A725,[1]HD_price_daily!$A$8:$B$1768,2,0)</f>
        <v>282.60000000000002</v>
      </c>
      <c r="C725">
        <f t="shared" si="44"/>
        <v>-8.6993124736914895E-3</v>
      </c>
      <c r="D725" s="1" t="str">
        <f t="shared" ca="1" si="45"/>
        <v>=B725/B724-1</v>
      </c>
      <c r="E725" s="8">
        <f>VLOOKUP(A725,'[1]S&amp;P500_DAILY'!$A$8:$B$1768,2,0)</f>
        <v>3849.62</v>
      </c>
      <c r="F725" s="1">
        <f t="shared" si="46"/>
        <v>-1.4888363213811928E-3</v>
      </c>
      <c r="G725" s="1" t="str">
        <f t="shared" ca="1" si="47"/>
        <v>=E725/E724-1</v>
      </c>
    </row>
    <row r="726" spans="1:7">
      <c r="A726" s="14">
        <v>44223</v>
      </c>
      <c r="B726" s="11">
        <f>VLOOKUP(A726,[1]HD_price_daily!$A$8:$B$1768,2,0)</f>
        <v>274.05</v>
      </c>
      <c r="C726">
        <f t="shared" si="44"/>
        <v>-3.0254777070063743E-2</v>
      </c>
      <c r="D726" s="1" t="str">
        <f t="shared" ca="1" si="45"/>
        <v>=B726/B725-1</v>
      </c>
      <c r="E726" s="8">
        <f>VLOOKUP(A726,'[1]S&amp;P500_DAILY'!$A$8:$B$1768,2,0)</f>
        <v>3750.77</v>
      </c>
      <c r="F726" s="1">
        <f t="shared" si="46"/>
        <v>-2.5677859113367063E-2</v>
      </c>
      <c r="G726" s="1" t="str">
        <f t="shared" ca="1" si="47"/>
        <v>=E726/E725-1</v>
      </c>
    </row>
    <row r="727" spans="1:7">
      <c r="A727" s="14">
        <v>44224</v>
      </c>
      <c r="B727" s="11">
        <f>VLOOKUP(A727,[1]HD_price_daily!$A$8:$B$1768,2,0)</f>
        <v>278.05</v>
      </c>
      <c r="C727">
        <f t="shared" si="44"/>
        <v>1.4595876664842189E-2</v>
      </c>
      <c r="D727" s="1" t="str">
        <f t="shared" ca="1" si="45"/>
        <v>=B727/B726-1</v>
      </c>
      <c r="E727" s="8">
        <f>VLOOKUP(A727,'[1]S&amp;P500_DAILY'!$A$8:$B$1768,2,0)</f>
        <v>3787.38</v>
      </c>
      <c r="F727" s="1">
        <f t="shared" si="46"/>
        <v>9.7606624773047823E-3</v>
      </c>
      <c r="G727" s="1" t="str">
        <f t="shared" ca="1" si="47"/>
        <v>=E727/E726-1</v>
      </c>
    </row>
    <row r="728" spans="1:7">
      <c r="A728" s="14">
        <v>44225</v>
      </c>
      <c r="B728" s="11">
        <f>VLOOKUP(A728,[1]HD_price_daily!$A$8:$B$1768,2,0)</f>
        <v>270.82</v>
      </c>
      <c r="C728">
        <f t="shared" si="44"/>
        <v>-2.6002517532817904E-2</v>
      </c>
      <c r="D728" s="1" t="str">
        <f t="shared" ca="1" si="45"/>
        <v>=B728/B727-1</v>
      </c>
      <c r="E728" s="8">
        <f>VLOOKUP(A728,'[1]S&amp;P500_DAILY'!$A$8:$B$1768,2,0)</f>
        <v>3714.24</v>
      </c>
      <c r="F728" s="1">
        <f t="shared" si="46"/>
        <v>-1.9311502938707092E-2</v>
      </c>
      <c r="G728" s="1" t="str">
        <f t="shared" ca="1" si="47"/>
        <v>=E728/E727-1</v>
      </c>
    </row>
    <row r="729" spans="1:7">
      <c r="A729" s="14">
        <v>44228</v>
      </c>
      <c r="B729" s="11">
        <f>VLOOKUP(A729,[1]HD_price_daily!$A$8:$B$1768,2,0)</f>
        <v>270.07</v>
      </c>
      <c r="C729">
        <f t="shared" si="44"/>
        <v>-2.7693671073037995E-3</v>
      </c>
      <c r="D729" s="1" t="str">
        <f t="shared" ca="1" si="45"/>
        <v>=B729/B728-1</v>
      </c>
      <c r="E729" s="8">
        <f>VLOOKUP(A729,'[1]S&amp;P500_DAILY'!$A$8:$B$1768,2,0)</f>
        <v>3773.86</v>
      </c>
      <c r="F729" s="1">
        <f t="shared" si="46"/>
        <v>1.6051736021366558E-2</v>
      </c>
      <c r="G729" s="1" t="str">
        <f t="shared" ca="1" si="47"/>
        <v>=E729/E728-1</v>
      </c>
    </row>
    <row r="730" spans="1:7">
      <c r="A730" s="14">
        <v>44229</v>
      </c>
      <c r="B730" s="11">
        <f>VLOOKUP(A730,[1]HD_price_daily!$A$8:$B$1768,2,0)</f>
        <v>272.16000000000003</v>
      </c>
      <c r="C730">
        <f t="shared" si="44"/>
        <v>7.7387344021921933E-3</v>
      </c>
      <c r="D730" s="1" t="str">
        <f t="shared" ca="1" si="45"/>
        <v>=B730/B729-1</v>
      </c>
      <c r="E730" s="8">
        <f>VLOOKUP(A730,'[1]S&amp;P500_DAILY'!$A$8:$B$1768,2,0)</f>
        <v>3826.31</v>
      </c>
      <c r="F730" s="1">
        <f t="shared" si="46"/>
        <v>1.3898236818535858E-2</v>
      </c>
      <c r="G730" s="1" t="str">
        <f t="shared" ca="1" si="47"/>
        <v>=E730/E729-1</v>
      </c>
    </row>
    <row r="731" spans="1:7">
      <c r="A731" s="14">
        <v>44230</v>
      </c>
      <c r="B731" s="11">
        <f>VLOOKUP(A731,[1]HD_price_daily!$A$8:$B$1768,2,0)</f>
        <v>274.17</v>
      </c>
      <c r="C731">
        <f t="shared" si="44"/>
        <v>7.3853615520282911E-3</v>
      </c>
      <c r="D731" s="1" t="str">
        <f t="shared" ca="1" si="45"/>
        <v>=B731/B730-1</v>
      </c>
      <c r="E731" s="8">
        <f>VLOOKUP(A731,'[1]S&amp;P500_DAILY'!$A$8:$B$1768,2,0)</f>
        <v>3830.17</v>
      </c>
      <c r="F731" s="1">
        <f t="shared" si="46"/>
        <v>1.0088048276277739E-3</v>
      </c>
      <c r="G731" s="1" t="str">
        <f t="shared" ca="1" si="47"/>
        <v>=E731/E730-1</v>
      </c>
    </row>
    <row r="732" spans="1:7">
      <c r="A732" s="14">
        <v>44231</v>
      </c>
      <c r="B732" s="11">
        <f>VLOOKUP(A732,[1]HD_price_daily!$A$8:$B$1768,2,0)</f>
        <v>278.82</v>
      </c>
      <c r="C732">
        <f t="shared" si="44"/>
        <v>1.6960280118174742E-2</v>
      </c>
      <c r="D732" s="1" t="str">
        <f t="shared" ca="1" si="45"/>
        <v>=B732/B731-1</v>
      </c>
      <c r="E732" s="8">
        <f>VLOOKUP(A732,'[1]S&amp;P500_DAILY'!$A$8:$B$1768,2,0)</f>
        <v>3871.74</v>
      </c>
      <c r="F732" s="1">
        <f t="shared" si="46"/>
        <v>1.0853304161434041E-2</v>
      </c>
      <c r="G732" s="1" t="str">
        <f t="shared" ca="1" si="47"/>
        <v>=E732/E731-1</v>
      </c>
    </row>
    <row r="733" spans="1:7">
      <c r="A733" s="14">
        <v>44232</v>
      </c>
      <c r="B733" s="11">
        <f>VLOOKUP(A733,[1]HD_price_daily!$A$8:$B$1768,2,0)</f>
        <v>278.86</v>
      </c>
      <c r="C733">
        <f t="shared" si="44"/>
        <v>1.4346173158319431E-4</v>
      </c>
      <c r="D733" s="1" t="str">
        <f t="shared" ca="1" si="45"/>
        <v>=B733/B732-1</v>
      </c>
      <c r="E733" s="8">
        <f>VLOOKUP(A733,'[1]S&amp;P500_DAILY'!$A$8:$B$1768,2,0)</f>
        <v>3886.83</v>
      </c>
      <c r="F733" s="1">
        <f t="shared" si="46"/>
        <v>3.897472454245321E-3</v>
      </c>
      <c r="G733" s="1" t="str">
        <f t="shared" ca="1" si="47"/>
        <v>=E733/E732-1</v>
      </c>
    </row>
    <row r="734" spans="1:7">
      <c r="A734" s="14">
        <v>44235</v>
      </c>
      <c r="B734" s="11">
        <f>VLOOKUP(A734,[1]HD_price_daily!$A$8:$B$1768,2,0)</f>
        <v>280.02999999999997</v>
      </c>
      <c r="C734">
        <f t="shared" si="44"/>
        <v>4.1956537330558596E-3</v>
      </c>
      <c r="D734" s="1" t="str">
        <f t="shared" ca="1" si="45"/>
        <v>=B734/B733-1</v>
      </c>
      <c r="E734" s="8">
        <f>VLOOKUP(A734,'[1]S&amp;P500_DAILY'!$A$8:$B$1768,2,0)</f>
        <v>3915.59</v>
      </c>
      <c r="F734" s="1">
        <f t="shared" si="46"/>
        <v>7.3993459966090747E-3</v>
      </c>
      <c r="G734" s="1" t="str">
        <f t="shared" ca="1" si="47"/>
        <v>=E734/E733-1</v>
      </c>
    </row>
    <row r="735" spans="1:7">
      <c r="A735" s="14">
        <v>44236</v>
      </c>
      <c r="B735" s="11">
        <f>VLOOKUP(A735,[1]HD_price_daily!$A$8:$B$1768,2,0)</f>
        <v>276.77</v>
      </c>
      <c r="C735">
        <f t="shared" si="44"/>
        <v>-1.1641609827518495E-2</v>
      </c>
      <c r="D735" s="1" t="str">
        <f t="shared" ca="1" si="45"/>
        <v>=B735/B734-1</v>
      </c>
      <c r="E735" s="8">
        <f>VLOOKUP(A735,'[1]S&amp;P500_DAILY'!$A$8:$B$1768,2,0)</f>
        <v>3911.23</v>
      </c>
      <c r="F735" s="1">
        <f t="shared" si="46"/>
        <v>-1.1134975827398197E-3</v>
      </c>
      <c r="G735" s="1" t="str">
        <f t="shared" ca="1" si="47"/>
        <v>=E735/E734-1</v>
      </c>
    </row>
    <row r="736" spans="1:7">
      <c r="A736" s="14">
        <v>44237</v>
      </c>
      <c r="B736" s="11">
        <f>VLOOKUP(A736,[1]HD_price_daily!$A$8:$B$1768,2,0)</f>
        <v>278.69</v>
      </c>
      <c r="C736">
        <f t="shared" si="44"/>
        <v>6.9371680456697948E-3</v>
      </c>
      <c r="D736" s="1" t="str">
        <f t="shared" ca="1" si="45"/>
        <v>=B736/B735-1</v>
      </c>
      <c r="E736" s="8">
        <f>VLOOKUP(A736,'[1]S&amp;P500_DAILY'!$A$8:$B$1768,2,0)</f>
        <v>3909.88</v>
      </c>
      <c r="F736" s="1">
        <f t="shared" si="46"/>
        <v>-3.4515996246697878E-4</v>
      </c>
      <c r="G736" s="1" t="str">
        <f t="shared" ca="1" si="47"/>
        <v>=E736/E735-1</v>
      </c>
    </row>
    <row r="737" spans="1:7">
      <c r="A737" s="14">
        <v>44238</v>
      </c>
      <c r="B737" s="11">
        <f>VLOOKUP(A737,[1]HD_price_daily!$A$8:$B$1768,2,0)</f>
        <v>277.06</v>
      </c>
      <c r="C737">
        <f t="shared" si="44"/>
        <v>-5.8487925652158657E-3</v>
      </c>
      <c r="D737" s="1" t="str">
        <f t="shared" ca="1" si="45"/>
        <v>=B737/B736-1</v>
      </c>
      <c r="E737" s="8">
        <f>VLOOKUP(A737,'[1]S&amp;P500_DAILY'!$A$8:$B$1768,2,0)</f>
        <v>3916.38</v>
      </c>
      <c r="F737" s="1">
        <f t="shared" si="46"/>
        <v>1.6624551137118804E-3</v>
      </c>
      <c r="G737" s="1" t="str">
        <f t="shared" ca="1" si="47"/>
        <v>=E737/E736-1</v>
      </c>
    </row>
    <row r="738" spans="1:7">
      <c r="A738" s="14">
        <v>44239</v>
      </c>
      <c r="B738" s="11">
        <f>VLOOKUP(A738,[1]HD_price_daily!$A$8:$B$1768,2,0)</f>
        <v>277.51</v>
      </c>
      <c r="C738">
        <f t="shared" si="44"/>
        <v>1.6241969248538268E-3</v>
      </c>
      <c r="D738" s="1" t="str">
        <f t="shared" ca="1" si="45"/>
        <v>=B738/B737-1</v>
      </c>
      <c r="E738" s="8">
        <f>VLOOKUP(A738,'[1]S&amp;P500_DAILY'!$A$8:$B$1768,2,0)</f>
        <v>3934.83</v>
      </c>
      <c r="F738" s="1">
        <f t="shared" si="46"/>
        <v>4.7109831017417836E-3</v>
      </c>
      <c r="G738" s="1" t="str">
        <f t="shared" ca="1" si="47"/>
        <v>=E738/E737-1</v>
      </c>
    </row>
    <row r="739" spans="1:7">
      <c r="A739" s="14">
        <v>44243</v>
      </c>
      <c r="B739" s="11">
        <f>VLOOKUP(A739,[1]HD_price_daily!$A$8:$B$1768,2,0)</f>
        <v>275.39</v>
      </c>
      <c r="C739">
        <f t="shared" si="44"/>
        <v>-7.6393643472307815E-3</v>
      </c>
      <c r="D739" s="1" t="str">
        <f t="shared" ca="1" si="45"/>
        <v>=B739/B738-1</v>
      </c>
      <c r="E739" s="8">
        <f>VLOOKUP(A739,'[1]S&amp;P500_DAILY'!$A$8:$B$1768,2,0)</f>
        <v>3932.59</v>
      </c>
      <c r="F739" s="1">
        <f t="shared" si="46"/>
        <v>-5.6927491149549869E-4</v>
      </c>
      <c r="G739" s="1" t="str">
        <f t="shared" ca="1" si="47"/>
        <v>=E739/E738-1</v>
      </c>
    </row>
    <row r="740" spans="1:7">
      <c r="A740" s="14">
        <v>44244</v>
      </c>
      <c r="B740" s="11">
        <f>VLOOKUP(A740,[1]HD_price_daily!$A$8:$B$1768,2,0)</f>
        <v>280.92</v>
      </c>
      <c r="C740">
        <f t="shared" si="44"/>
        <v>2.0080612948908838E-2</v>
      </c>
      <c r="D740" s="1" t="str">
        <f t="shared" ca="1" si="45"/>
        <v>=B740/B739-1</v>
      </c>
      <c r="E740" s="8">
        <f>VLOOKUP(A740,'[1]S&amp;P500_DAILY'!$A$8:$B$1768,2,0)</f>
        <v>3931.33</v>
      </c>
      <c r="F740" s="1">
        <f t="shared" si="46"/>
        <v>-3.2039953313212077E-4</v>
      </c>
      <c r="G740" s="1" t="str">
        <f t="shared" ca="1" si="47"/>
        <v>=E740/E739-1</v>
      </c>
    </row>
    <row r="741" spans="1:7">
      <c r="A741" s="14">
        <v>44245</v>
      </c>
      <c r="B741" s="11">
        <f>VLOOKUP(A741,[1]HD_price_daily!$A$8:$B$1768,2,0)</f>
        <v>283.05</v>
      </c>
      <c r="C741">
        <f t="shared" si="44"/>
        <v>7.5822298163177315E-3</v>
      </c>
      <c r="D741" s="1" t="str">
        <f t="shared" ca="1" si="45"/>
        <v>=B741/B740-1</v>
      </c>
      <c r="E741" s="8">
        <f>VLOOKUP(A741,'[1]S&amp;P500_DAILY'!$A$8:$B$1768,2,0)</f>
        <v>3913.97</v>
      </c>
      <c r="F741" s="1">
        <f t="shared" si="46"/>
        <v>-4.4158083905446732E-3</v>
      </c>
      <c r="G741" s="1" t="str">
        <f t="shared" ca="1" si="47"/>
        <v>=E741/E740-1</v>
      </c>
    </row>
    <row r="742" spans="1:7">
      <c r="A742" s="14">
        <v>44246</v>
      </c>
      <c r="B742" s="11">
        <f>VLOOKUP(A742,[1]HD_price_daily!$A$8:$B$1768,2,0)</f>
        <v>279.64</v>
      </c>
      <c r="C742">
        <f t="shared" si="44"/>
        <v>-1.2047341459106242E-2</v>
      </c>
      <c r="D742" s="1" t="str">
        <f t="shared" ca="1" si="45"/>
        <v>=B742/B741-1</v>
      </c>
      <c r="E742" s="8">
        <f>VLOOKUP(A742,'[1]S&amp;P500_DAILY'!$A$8:$B$1768,2,0)</f>
        <v>3906.71</v>
      </c>
      <c r="F742" s="1">
        <f t="shared" si="46"/>
        <v>-1.8548941356217874E-3</v>
      </c>
      <c r="G742" s="1" t="str">
        <f t="shared" ca="1" si="47"/>
        <v>=E742/E741-1</v>
      </c>
    </row>
    <row r="743" spans="1:7">
      <c r="A743" s="14">
        <v>44249</v>
      </c>
      <c r="B743" s="11">
        <f>VLOOKUP(A743,[1]HD_price_daily!$A$8:$B$1768,2,0)</f>
        <v>275.85000000000002</v>
      </c>
      <c r="C743">
        <f t="shared" si="44"/>
        <v>-1.355313975110839E-2</v>
      </c>
      <c r="D743" s="1" t="str">
        <f t="shared" ca="1" si="45"/>
        <v>=B743/B742-1</v>
      </c>
      <c r="E743" s="8">
        <f>VLOOKUP(A743,'[1]S&amp;P500_DAILY'!$A$8:$B$1768,2,0)</f>
        <v>3876.5</v>
      </c>
      <c r="F743" s="1">
        <f t="shared" si="46"/>
        <v>-7.7328493796570141E-3</v>
      </c>
      <c r="G743" s="1" t="str">
        <f t="shared" ca="1" si="47"/>
        <v>=E743/E742-1</v>
      </c>
    </row>
    <row r="744" spans="1:7">
      <c r="A744" s="14">
        <v>44250</v>
      </c>
      <c r="B744" s="11">
        <f>VLOOKUP(A744,[1]HD_price_daily!$A$8:$B$1768,2,0)</f>
        <v>267.24</v>
      </c>
      <c r="C744">
        <f t="shared" si="44"/>
        <v>-3.1212615551930445E-2</v>
      </c>
      <c r="D744" s="1" t="str">
        <f t="shared" ca="1" si="45"/>
        <v>=B744/B743-1</v>
      </c>
      <c r="E744" s="8">
        <f>VLOOKUP(A744,'[1]S&amp;P500_DAILY'!$A$8:$B$1768,2,0)</f>
        <v>3881.37</v>
      </c>
      <c r="F744" s="1">
        <f t="shared" si="46"/>
        <v>1.2562878885591378E-3</v>
      </c>
      <c r="G744" s="1" t="str">
        <f t="shared" ca="1" si="47"/>
        <v>=E744/E743-1</v>
      </c>
    </row>
    <row r="745" spans="1:7">
      <c r="A745" s="14">
        <v>44251</v>
      </c>
      <c r="B745" s="11">
        <f>VLOOKUP(A745,[1]HD_price_daily!$A$8:$B$1768,2,0)</f>
        <v>259.97000000000003</v>
      </c>
      <c r="C745">
        <f t="shared" si="44"/>
        <v>-2.7204011375542514E-2</v>
      </c>
      <c r="D745" s="1" t="str">
        <f t="shared" ca="1" si="45"/>
        <v>=B745/B744-1</v>
      </c>
      <c r="E745" s="8">
        <f>VLOOKUP(A745,'[1]S&amp;P500_DAILY'!$A$8:$B$1768,2,0)</f>
        <v>3925.43</v>
      </c>
      <c r="F745" s="1">
        <f t="shared" si="46"/>
        <v>1.135166191319037E-2</v>
      </c>
      <c r="G745" s="1" t="str">
        <f t="shared" ca="1" si="47"/>
        <v>=E745/E744-1</v>
      </c>
    </row>
    <row r="746" spans="1:7">
      <c r="A746" s="14">
        <v>44252</v>
      </c>
      <c r="B746" s="11">
        <f>VLOOKUP(A746,[1]HD_price_daily!$A$8:$B$1768,2,0)</f>
        <v>255.25</v>
      </c>
      <c r="C746">
        <f t="shared" si="44"/>
        <v>-1.8155941070123527E-2</v>
      </c>
      <c r="D746" s="1" t="str">
        <f t="shared" ca="1" si="45"/>
        <v>=B746/B745-1</v>
      </c>
      <c r="E746" s="8">
        <f>VLOOKUP(A746,'[1]S&amp;P500_DAILY'!$A$8:$B$1768,2,0)</f>
        <v>3829.34</v>
      </c>
      <c r="F746" s="1">
        <f t="shared" si="46"/>
        <v>-2.4478846903396523E-2</v>
      </c>
      <c r="G746" s="1" t="str">
        <f t="shared" ca="1" si="47"/>
        <v>=E746/E745-1</v>
      </c>
    </row>
    <row r="747" spans="1:7">
      <c r="A747" s="14">
        <v>44253</v>
      </c>
      <c r="B747" s="11">
        <f>VLOOKUP(A747,[1]HD_price_daily!$A$8:$B$1768,2,0)</f>
        <v>258.33999999999997</v>
      </c>
      <c r="C747">
        <f t="shared" si="44"/>
        <v>1.2105778648383803E-2</v>
      </c>
      <c r="D747" s="1" t="str">
        <f t="shared" ca="1" si="45"/>
        <v>=B747/B746-1</v>
      </c>
      <c r="E747" s="8">
        <f>VLOOKUP(A747,'[1]S&amp;P500_DAILY'!$A$8:$B$1768,2,0)</f>
        <v>3811.15</v>
      </c>
      <c r="F747" s="1">
        <f t="shared" si="46"/>
        <v>-4.7501658249202716E-3</v>
      </c>
      <c r="G747" s="1" t="str">
        <f t="shared" ca="1" si="47"/>
        <v>=E747/E746-1</v>
      </c>
    </row>
    <row r="748" spans="1:7">
      <c r="A748" s="14">
        <v>44256</v>
      </c>
      <c r="B748" s="11">
        <f>VLOOKUP(A748,[1]HD_price_daily!$A$8:$B$1768,2,0)</f>
        <v>261.62</v>
      </c>
      <c r="C748">
        <f t="shared" si="44"/>
        <v>1.2696446543315032E-2</v>
      </c>
      <c r="D748" s="1" t="str">
        <f t="shared" ca="1" si="45"/>
        <v>=B748/B747-1</v>
      </c>
      <c r="E748" s="8">
        <f>VLOOKUP(A748,'[1]S&amp;P500_DAILY'!$A$8:$B$1768,2,0)</f>
        <v>3901.82</v>
      </c>
      <c r="F748" s="1">
        <f t="shared" si="46"/>
        <v>2.3790719336683086E-2</v>
      </c>
      <c r="G748" s="1" t="str">
        <f t="shared" ca="1" si="47"/>
        <v>=E748/E747-1</v>
      </c>
    </row>
    <row r="749" spans="1:7">
      <c r="A749" s="14">
        <v>44257</v>
      </c>
      <c r="B749" s="11">
        <f>VLOOKUP(A749,[1]HD_price_daily!$A$8:$B$1768,2,0)</f>
        <v>260.29000000000002</v>
      </c>
      <c r="C749">
        <f t="shared" si="44"/>
        <v>-5.0837091965445502E-3</v>
      </c>
      <c r="D749" s="1" t="str">
        <f t="shared" ca="1" si="45"/>
        <v>=B749/B748-1</v>
      </c>
      <c r="E749" s="8">
        <f>VLOOKUP(A749,'[1]S&amp;P500_DAILY'!$A$8:$B$1768,2,0)</f>
        <v>3870.29</v>
      </c>
      <c r="F749" s="1">
        <f t="shared" si="46"/>
        <v>-8.0808443239309691E-3</v>
      </c>
      <c r="G749" s="1" t="str">
        <f t="shared" ca="1" si="47"/>
        <v>=E749/E748-1</v>
      </c>
    </row>
    <row r="750" spans="1:7">
      <c r="A750" s="14">
        <v>44258</v>
      </c>
      <c r="B750" s="11">
        <f>VLOOKUP(A750,[1]HD_price_daily!$A$8:$B$1768,2,0)</f>
        <v>257.36</v>
      </c>
      <c r="C750">
        <f t="shared" si="44"/>
        <v>-1.1256675246840042E-2</v>
      </c>
      <c r="D750" s="1" t="str">
        <f t="shared" ca="1" si="45"/>
        <v>=B750/B749-1</v>
      </c>
      <c r="E750" s="8">
        <f>VLOOKUP(A750,'[1]S&amp;P500_DAILY'!$A$8:$B$1768,2,0)</f>
        <v>3819.72</v>
      </c>
      <c r="F750" s="1">
        <f t="shared" si="46"/>
        <v>-1.306620434127681E-2</v>
      </c>
      <c r="G750" s="1" t="str">
        <f t="shared" ca="1" si="47"/>
        <v>=E750/E749-1</v>
      </c>
    </row>
    <row r="751" spans="1:7">
      <c r="A751" s="14">
        <v>44259</v>
      </c>
      <c r="B751" s="11">
        <f>VLOOKUP(A751,[1]HD_price_daily!$A$8:$B$1768,2,0)</f>
        <v>250.93</v>
      </c>
      <c r="C751">
        <f t="shared" si="44"/>
        <v>-2.4984457569163787E-2</v>
      </c>
      <c r="D751" s="1" t="str">
        <f t="shared" ca="1" si="45"/>
        <v>=B751/B750-1</v>
      </c>
      <c r="E751" s="8">
        <f>VLOOKUP(A751,'[1]S&amp;P500_DAILY'!$A$8:$B$1768,2,0)</f>
        <v>3768.47</v>
      </c>
      <c r="F751" s="1">
        <f t="shared" si="46"/>
        <v>-1.3417213827191521E-2</v>
      </c>
      <c r="G751" s="1" t="str">
        <f t="shared" ca="1" si="47"/>
        <v>=E751/E750-1</v>
      </c>
    </row>
    <row r="752" spans="1:7">
      <c r="A752" s="14">
        <v>44260</v>
      </c>
      <c r="B752" s="11">
        <f>VLOOKUP(A752,[1]HD_price_daily!$A$8:$B$1768,2,0)</f>
        <v>253.52</v>
      </c>
      <c r="C752">
        <f t="shared" si="44"/>
        <v>1.0321603634479759E-2</v>
      </c>
      <c r="D752" s="1" t="str">
        <f t="shared" ca="1" si="45"/>
        <v>=B752/B751-1</v>
      </c>
      <c r="E752" s="8">
        <f>VLOOKUP(A752,'[1]S&amp;P500_DAILY'!$A$8:$B$1768,2,0)</f>
        <v>3841.94</v>
      </c>
      <c r="F752" s="1">
        <f t="shared" si="46"/>
        <v>1.9495975820425837E-2</v>
      </c>
      <c r="G752" s="1" t="str">
        <f t="shared" ca="1" si="47"/>
        <v>=E752/E751-1</v>
      </c>
    </row>
    <row r="753" spans="1:7">
      <c r="A753" s="14">
        <v>44263</v>
      </c>
      <c r="B753" s="11">
        <f>VLOOKUP(A753,[1]HD_price_daily!$A$8:$B$1768,2,0)</f>
        <v>259.02999999999997</v>
      </c>
      <c r="C753">
        <f t="shared" si="44"/>
        <v>2.1733985484379881E-2</v>
      </c>
      <c r="D753" s="1" t="str">
        <f t="shared" ca="1" si="45"/>
        <v>=B753/B752-1</v>
      </c>
      <c r="E753" s="8">
        <f>VLOOKUP(A753,'[1]S&amp;P500_DAILY'!$A$8:$B$1768,2,0)</f>
        <v>3821.35</v>
      </c>
      <c r="F753" s="1">
        <f t="shared" si="46"/>
        <v>-5.3592716179846622E-3</v>
      </c>
      <c r="G753" s="1" t="str">
        <f t="shared" ca="1" si="47"/>
        <v>=E753/E752-1</v>
      </c>
    </row>
    <row r="754" spans="1:7">
      <c r="A754" s="14">
        <v>44264</v>
      </c>
      <c r="B754" s="11">
        <f>VLOOKUP(A754,[1]HD_price_daily!$A$8:$B$1768,2,0)</f>
        <v>264.95999999999998</v>
      </c>
      <c r="C754">
        <f t="shared" si="44"/>
        <v>2.2893101185190945E-2</v>
      </c>
      <c r="D754" s="1" t="str">
        <f t="shared" ca="1" si="45"/>
        <v>=B754/B753-1</v>
      </c>
      <c r="E754" s="8">
        <f>VLOOKUP(A754,'[1]S&amp;P500_DAILY'!$A$8:$B$1768,2,0)</f>
        <v>3875.44</v>
      </c>
      <c r="F754" s="1">
        <f t="shared" si="46"/>
        <v>1.4154683554241432E-2</v>
      </c>
      <c r="G754" s="1" t="str">
        <f t="shared" ca="1" si="47"/>
        <v>=E754/E753-1</v>
      </c>
    </row>
    <row r="755" spans="1:7">
      <c r="A755" s="14">
        <v>44265</v>
      </c>
      <c r="B755" s="11">
        <f>VLOOKUP(A755,[1]HD_price_daily!$A$8:$B$1768,2,0)</f>
        <v>266.24</v>
      </c>
      <c r="C755">
        <f t="shared" si="44"/>
        <v>4.8309178743961567E-3</v>
      </c>
      <c r="D755" s="1" t="str">
        <f t="shared" ca="1" si="45"/>
        <v>=B755/B754-1</v>
      </c>
      <c r="E755" s="8">
        <f>VLOOKUP(A755,'[1]S&amp;P500_DAILY'!$A$8:$B$1768,2,0)</f>
        <v>3898.81</v>
      </c>
      <c r="F755" s="1">
        <f t="shared" si="46"/>
        <v>6.0302830130256613E-3</v>
      </c>
      <c r="G755" s="1" t="str">
        <f t="shared" ca="1" si="47"/>
        <v>=E755/E754-1</v>
      </c>
    </row>
    <row r="756" spans="1:7">
      <c r="A756" s="14">
        <v>44266</v>
      </c>
      <c r="B756" s="11">
        <f>VLOOKUP(A756,[1]HD_price_daily!$A$8:$B$1768,2,0)</f>
        <v>268.85000000000002</v>
      </c>
      <c r="C756">
        <f t="shared" si="44"/>
        <v>9.8031850961539657E-3</v>
      </c>
      <c r="D756" s="1" t="str">
        <f t="shared" ca="1" si="45"/>
        <v>=B756/B755-1</v>
      </c>
      <c r="E756" s="8">
        <f>VLOOKUP(A756,'[1]S&amp;P500_DAILY'!$A$8:$B$1768,2,0)</f>
        <v>3939.34</v>
      </c>
      <c r="F756" s="1">
        <f t="shared" si="46"/>
        <v>1.0395479646353678E-2</v>
      </c>
      <c r="G756" s="1" t="str">
        <f t="shared" ca="1" si="47"/>
        <v>=E756/E755-1</v>
      </c>
    </row>
    <row r="757" spans="1:7">
      <c r="A757" s="14">
        <v>44267</v>
      </c>
      <c r="B757" s="11">
        <f>VLOOKUP(A757,[1]HD_price_daily!$A$8:$B$1768,2,0)</f>
        <v>273.10000000000002</v>
      </c>
      <c r="C757">
        <f t="shared" si="44"/>
        <v>1.5808071415287284E-2</v>
      </c>
      <c r="D757" s="1" t="str">
        <f t="shared" ca="1" si="45"/>
        <v>=B757/B756-1</v>
      </c>
      <c r="E757" s="8">
        <f>VLOOKUP(A757,'[1]S&amp;P500_DAILY'!$A$8:$B$1768,2,0)</f>
        <v>3943.34</v>
      </c>
      <c r="F757" s="1">
        <f t="shared" si="46"/>
        <v>1.0153985185334946E-3</v>
      </c>
      <c r="G757" s="1" t="str">
        <f t="shared" ca="1" si="47"/>
        <v>=E757/E756-1</v>
      </c>
    </row>
    <row r="758" spans="1:7">
      <c r="A758" s="14">
        <v>44270</v>
      </c>
      <c r="B758" s="11">
        <f>VLOOKUP(A758,[1]HD_price_daily!$A$8:$B$1768,2,0)</f>
        <v>278.54000000000002</v>
      </c>
      <c r="C758">
        <f t="shared" si="44"/>
        <v>1.9919443427315997E-2</v>
      </c>
      <c r="D758" s="1" t="str">
        <f t="shared" ca="1" si="45"/>
        <v>=B758/B757-1</v>
      </c>
      <c r="E758" s="8">
        <f>VLOOKUP(A758,'[1]S&amp;P500_DAILY'!$A$8:$B$1768,2,0)</f>
        <v>3968.94</v>
      </c>
      <c r="F758" s="1">
        <f t="shared" si="46"/>
        <v>6.4919585934766211E-3</v>
      </c>
      <c r="G758" s="1" t="str">
        <f t="shared" ca="1" si="47"/>
        <v>=E758/E757-1</v>
      </c>
    </row>
    <row r="759" spans="1:7">
      <c r="A759" s="14">
        <v>44271</v>
      </c>
      <c r="B759" s="11">
        <f>VLOOKUP(A759,[1]HD_price_daily!$A$8:$B$1768,2,0)</f>
        <v>282.08</v>
      </c>
      <c r="C759">
        <f t="shared" si="44"/>
        <v>1.2709126157822714E-2</v>
      </c>
      <c r="D759" s="1" t="str">
        <f t="shared" ca="1" si="45"/>
        <v>=B759/B758-1</v>
      </c>
      <c r="E759" s="8">
        <f>VLOOKUP(A759,'[1]S&amp;P500_DAILY'!$A$8:$B$1768,2,0)</f>
        <v>3962.71</v>
      </c>
      <c r="F759" s="1">
        <f t="shared" si="46"/>
        <v>-1.5696886322292825E-3</v>
      </c>
      <c r="G759" s="1" t="str">
        <f t="shared" ca="1" si="47"/>
        <v>=E759/E758-1</v>
      </c>
    </row>
    <row r="760" spans="1:7">
      <c r="A760" s="14">
        <v>44272</v>
      </c>
      <c r="B760" s="11">
        <f>VLOOKUP(A760,[1]HD_price_daily!$A$8:$B$1768,2,0)</f>
        <v>280.02999999999997</v>
      </c>
      <c r="C760">
        <f t="shared" si="44"/>
        <v>-7.2674418604651292E-3</v>
      </c>
      <c r="D760" s="1" t="str">
        <f t="shared" ca="1" si="45"/>
        <v>=B760/B759-1</v>
      </c>
      <c r="E760" s="8">
        <f>VLOOKUP(A760,'[1]S&amp;P500_DAILY'!$A$8:$B$1768,2,0)</f>
        <v>3974.12</v>
      </c>
      <c r="F760" s="1">
        <f t="shared" si="46"/>
        <v>2.8793426720601367E-3</v>
      </c>
      <c r="G760" s="1" t="str">
        <f t="shared" ca="1" si="47"/>
        <v>=E760/E759-1</v>
      </c>
    </row>
    <row r="761" spans="1:7">
      <c r="A761" s="14">
        <v>44273</v>
      </c>
      <c r="B761" s="11">
        <f>VLOOKUP(A761,[1]HD_price_daily!$A$8:$B$1768,2,0)</f>
        <v>283.16000000000003</v>
      </c>
      <c r="C761">
        <f t="shared" si="44"/>
        <v>1.1177373852801598E-2</v>
      </c>
      <c r="D761" s="1" t="str">
        <f t="shared" ca="1" si="45"/>
        <v>=B761/B760-1</v>
      </c>
      <c r="E761" s="8">
        <f>VLOOKUP(A761,'[1]S&amp;P500_DAILY'!$A$8:$B$1768,2,0)</f>
        <v>3915.46</v>
      </c>
      <c r="F761" s="1">
        <f t="shared" si="46"/>
        <v>-1.4760500437832724E-2</v>
      </c>
      <c r="G761" s="1" t="str">
        <f t="shared" ca="1" si="47"/>
        <v>=E761/E760-1</v>
      </c>
    </row>
    <row r="762" spans="1:7">
      <c r="A762" s="14">
        <v>44274</v>
      </c>
      <c r="B762" s="11">
        <f>VLOOKUP(A762,[1]HD_price_daily!$A$8:$B$1768,2,0)</f>
        <v>289.10000000000002</v>
      </c>
      <c r="C762">
        <f t="shared" si="44"/>
        <v>2.0977539200452089E-2</v>
      </c>
      <c r="D762" s="1" t="str">
        <f t="shared" ca="1" si="45"/>
        <v>=B762/B761-1</v>
      </c>
      <c r="E762" s="8">
        <f>VLOOKUP(A762,'[1]S&amp;P500_DAILY'!$A$8:$B$1768,2,0)</f>
        <v>3913.1</v>
      </c>
      <c r="F762" s="1">
        <f t="shared" si="46"/>
        <v>-6.0273888636330764E-4</v>
      </c>
      <c r="G762" s="1" t="str">
        <f t="shared" ca="1" si="47"/>
        <v>=E762/E761-1</v>
      </c>
    </row>
    <row r="763" spans="1:7">
      <c r="A763" s="14">
        <v>44277</v>
      </c>
      <c r="B763" s="11">
        <f>VLOOKUP(A763,[1]HD_price_daily!$A$8:$B$1768,2,0)</f>
        <v>288.94</v>
      </c>
      <c r="C763">
        <f t="shared" si="44"/>
        <v>-5.5344171566940048E-4</v>
      </c>
      <c r="D763" s="1" t="str">
        <f t="shared" ca="1" si="45"/>
        <v>=B763/B762-1</v>
      </c>
      <c r="E763" s="8">
        <f>VLOOKUP(A763,'[1]S&amp;P500_DAILY'!$A$8:$B$1768,2,0)</f>
        <v>3940.59</v>
      </c>
      <c r="F763" s="1">
        <f t="shared" si="46"/>
        <v>7.0251207482558975E-3</v>
      </c>
      <c r="G763" s="1" t="str">
        <f t="shared" ca="1" si="47"/>
        <v>=E763/E762-1</v>
      </c>
    </row>
    <row r="764" spans="1:7">
      <c r="A764" s="14">
        <v>44278</v>
      </c>
      <c r="B764" s="11">
        <f>VLOOKUP(A764,[1]HD_price_daily!$A$8:$B$1768,2,0)</f>
        <v>289.98</v>
      </c>
      <c r="C764">
        <f t="shared" si="44"/>
        <v>3.5993631895896439E-3</v>
      </c>
      <c r="D764" s="1" t="str">
        <f t="shared" ca="1" si="45"/>
        <v>=B764/B763-1</v>
      </c>
      <c r="E764" s="8">
        <f>VLOOKUP(A764,'[1]S&amp;P500_DAILY'!$A$8:$B$1768,2,0)</f>
        <v>3910.52</v>
      </c>
      <c r="F764" s="1">
        <f t="shared" si="46"/>
        <v>-7.6308370066411335E-3</v>
      </c>
      <c r="G764" s="1" t="str">
        <f t="shared" ca="1" si="47"/>
        <v>=E764/E763-1</v>
      </c>
    </row>
    <row r="765" spans="1:7">
      <c r="A765" s="14">
        <v>44279</v>
      </c>
      <c r="B765" s="11">
        <f>VLOOKUP(A765,[1]HD_price_daily!$A$8:$B$1768,2,0)</f>
        <v>292.75</v>
      </c>
      <c r="C765">
        <f t="shared" si="44"/>
        <v>9.5523829229602342E-3</v>
      </c>
      <c r="D765" s="1" t="str">
        <f t="shared" ca="1" si="45"/>
        <v>=B765/B764-1</v>
      </c>
      <c r="E765" s="8">
        <f>VLOOKUP(A765,'[1]S&amp;P500_DAILY'!$A$8:$B$1768,2,0)</f>
        <v>3889.14</v>
      </c>
      <c r="F765" s="1">
        <f t="shared" si="46"/>
        <v>-5.4673035811094728E-3</v>
      </c>
      <c r="G765" s="1" t="str">
        <f t="shared" ca="1" si="47"/>
        <v>=E765/E764-1</v>
      </c>
    </row>
    <row r="766" spans="1:7">
      <c r="A766" s="14">
        <v>44280</v>
      </c>
      <c r="B766" s="11">
        <f>VLOOKUP(A766,[1]HD_price_daily!$A$8:$B$1768,2,0)</f>
        <v>297.18</v>
      </c>
      <c r="C766">
        <f t="shared" si="44"/>
        <v>1.5132365499572975E-2</v>
      </c>
      <c r="D766" s="1" t="str">
        <f t="shared" ca="1" si="45"/>
        <v>=B766/B765-1</v>
      </c>
      <c r="E766" s="8">
        <f>VLOOKUP(A766,'[1]S&amp;P500_DAILY'!$A$8:$B$1768,2,0)</f>
        <v>3909.52</v>
      </c>
      <c r="F766" s="1">
        <f t="shared" si="46"/>
        <v>5.2402330592367097E-3</v>
      </c>
      <c r="G766" s="1" t="str">
        <f t="shared" ca="1" si="47"/>
        <v>=E766/E765-1</v>
      </c>
    </row>
    <row r="767" spans="1:7">
      <c r="A767" s="14">
        <v>44281</v>
      </c>
      <c r="B767" s="11">
        <f>VLOOKUP(A767,[1]HD_price_daily!$A$8:$B$1768,2,0)</f>
        <v>303.81</v>
      </c>
      <c r="C767">
        <f t="shared" si="44"/>
        <v>2.2309711286089273E-2</v>
      </c>
      <c r="D767" s="1" t="str">
        <f t="shared" ca="1" si="45"/>
        <v>=B767/B766-1</v>
      </c>
      <c r="E767" s="8">
        <f>VLOOKUP(A767,'[1]S&amp;P500_DAILY'!$A$8:$B$1768,2,0)</f>
        <v>3974.54</v>
      </c>
      <c r="F767" s="1">
        <f t="shared" si="46"/>
        <v>1.6631197691788335E-2</v>
      </c>
      <c r="G767" s="1" t="str">
        <f t="shared" ca="1" si="47"/>
        <v>=E767/E766-1</v>
      </c>
    </row>
    <row r="768" spans="1:7">
      <c r="A768" s="14">
        <v>44284</v>
      </c>
      <c r="B768" s="11">
        <f>VLOOKUP(A768,[1]HD_price_daily!$A$8:$B$1768,2,0)</f>
        <v>302.2</v>
      </c>
      <c r="C768">
        <f t="shared" si="44"/>
        <v>-5.2993647345380701E-3</v>
      </c>
      <c r="D768" s="1" t="str">
        <f t="shared" ca="1" si="45"/>
        <v>=B768/B767-1</v>
      </c>
      <c r="E768" s="8">
        <f>VLOOKUP(A768,'[1]S&amp;P500_DAILY'!$A$8:$B$1768,2,0)</f>
        <v>3971.09</v>
      </c>
      <c r="F768" s="1">
        <f t="shared" si="46"/>
        <v>-8.6802497899118869E-4</v>
      </c>
      <c r="G768" s="1" t="str">
        <f t="shared" ca="1" si="47"/>
        <v>=E768/E767-1</v>
      </c>
    </row>
    <row r="769" spans="1:7">
      <c r="A769" s="14">
        <v>44285</v>
      </c>
      <c r="B769" s="11">
        <f>VLOOKUP(A769,[1]HD_price_daily!$A$8:$B$1768,2,0)</f>
        <v>304.82</v>
      </c>
      <c r="C769">
        <f t="shared" si="44"/>
        <v>8.6697551290535468E-3</v>
      </c>
      <c r="D769" s="1" t="str">
        <f t="shared" ca="1" si="45"/>
        <v>=B769/B768-1</v>
      </c>
      <c r="E769" s="8">
        <f>VLOOKUP(A769,'[1]S&amp;P500_DAILY'!$A$8:$B$1768,2,0)</f>
        <v>3958.55</v>
      </c>
      <c r="F769" s="1">
        <f t="shared" si="46"/>
        <v>-3.1578231669390222E-3</v>
      </c>
      <c r="G769" s="1" t="str">
        <f t="shared" ca="1" si="47"/>
        <v>=E769/E768-1</v>
      </c>
    </row>
    <row r="770" spans="1:7">
      <c r="A770" s="14">
        <v>44286</v>
      </c>
      <c r="B770" s="11">
        <f>VLOOKUP(A770,[1]HD_price_daily!$A$8:$B$1768,2,0)</f>
        <v>305.25</v>
      </c>
      <c r="C770">
        <f t="shared" si="44"/>
        <v>1.4106685912997907E-3</v>
      </c>
      <c r="D770" s="1" t="str">
        <f t="shared" ca="1" si="45"/>
        <v>=B770/B769-1</v>
      </c>
      <c r="E770" s="8">
        <f>VLOOKUP(A770,'[1]S&amp;P500_DAILY'!$A$8:$B$1768,2,0)</f>
        <v>3972.89</v>
      </c>
      <c r="F770" s="1">
        <f t="shared" si="46"/>
        <v>3.6225385557842049E-3</v>
      </c>
      <c r="G770" s="1" t="str">
        <f t="shared" ca="1" si="47"/>
        <v>=E770/E769-1</v>
      </c>
    </row>
    <row r="771" spans="1:7">
      <c r="A771" s="14">
        <v>44287</v>
      </c>
      <c r="B771" s="11">
        <f>VLOOKUP(A771,[1]HD_price_daily!$A$8:$B$1768,2,0)</f>
        <v>307.75</v>
      </c>
      <c r="C771">
        <f t="shared" si="44"/>
        <v>8.1900081900081467E-3</v>
      </c>
      <c r="D771" s="1" t="str">
        <f t="shared" ca="1" si="45"/>
        <v>=B771/B770-1</v>
      </c>
      <c r="E771" s="8">
        <f>VLOOKUP(A771,'[1]S&amp;P500_DAILY'!$A$8:$B$1768,2,0)</f>
        <v>4019.87</v>
      </c>
      <c r="F771" s="1">
        <f t="shared" si="46"/>
        <v>1.1825144919693331E-2</v>
      </c>
      <c r="G771" s="1" t="str">
        <f t="shared" ca="1" si="47"/>
        <v>=E771/E770-1</v>
      </c>
    </row>
    <row r="772" spans="1:7">
      <c r="A772" s="14">
        <v>44291</v>
      </c>
      <c r="B772" s="11">
        <f>VLOOKUP(A772,[1]HD_price_daily!$A$8:$B$1768,2,0)</f>
        <v>315.39999999999998</v>
      </c>
      <c r="C772">
        <f t="shared" ref="C772:C835" si="48">B772/B771-1</f>
        <v>2.4857839155158379E-2</v>
      </c>
      <c r="D772" s="1" t="str">
        <f t="shared" ref="D772:D835" ca="1" si="49">_xlfn.FORMULATEXT(C772)</f>
        <v>=B772/B771-1</v>
      </c>
      <c r="E772" s="8">
        <f>VLOOKUP(A772,'[1]S&amp;P500_DAILY'!$A$8:$B$1768,2,0)</f>
        <v>4077.91</v>
      </c>
      <c r="F772" s="1">
        <f t="shared" ref="F772:F835" si="50">E772/E771-1</f>
        <v>1.4438277854756487E-2</v>
      </c>
      <c r="G772" s="1" t="str">
        <f t="shared" ref="G772:G835" ca="1" si="51">_xlfn.FORMULATEXT(F772)</f>
        <v>=E772/E771-1</v>
      </c>
    </row>
    <row r="773" spans="1:7">
      <c r="A773" s="14">
        <v>44292</v>
      </c>
      <c r="B773" s="11">
        <f>VLOOKUP(A773,[1]HD_price_daily!$A$8:$B$1768,2,0)</f>
        <v>313.77999999999997</v>
      </c>
      <c r="C773">
        <f t="shared" si="48"/>
        <v>-5.1363348129359609E-3</v>
      </c>
      <c r="D773" s="1" t="str">
        <f t="shared" ca="1" si="49"/>
        <v>=B773/B772-1</v>
      </c>
      <c r="E773" s="8">
        <f>VLOOKUP(A773,'[1]S&amp;P500_DAILY'!$A$8:$B$1768,2,0)</f>
        <v>4073.94</v>
      </c>
      <c r="F773" s="1">
        <f t="shared" si="50"/>
        <v>-9.7353791525556233E-4</v>
      </c>
      <c r="G773" s="1" t="str">
        <f t="shared" ca="1" si="51"/>
        <v>=E773/E772-1</v>
      </c>
    </row>
    <row r="774" spans="1:7">
      <c r="A774" s="14">
        <v>44293</v>
      </c>
      <c r="B774" s="11">
        <f>VLOOKUP(A774,[1]HD_price_daily!$A$8:$B$1768,2,0)</f>
        <v>312.47000000000003</v>
      </c>
      <c r="C774">
        <f t="shared" si="48"/>
        <v>-4.1748996111923287E-3</v>
      </c>
      <c r="D774" s="1" t="str">
        <f t="shared" ca="1" si="49"/>
        <v>=B774/B773-1</v>
      </c>
      <c r="E774" s="8">
        <f>VLOOKUP(A774,'[1]S&amp;P500_DAILY'!$A$8:$B$1768,2,0)</f>
        <v>4079.95</v>
      </c>
      <c r="F774" s="1">
        <f t="shared" si="50"/>
        <v>1.4752303666720756E-3</v>
      </c>
      <c r="G774" s="1" t="str">
        <f t="shared" ca="1" si="51"/>
        <v>=E774/E773-1</v>
      </c>
    </row>
    <row r="775" spans="1:7">
      <c r="A775" s="14">
        <v>44294</v>
      </c>
      <c r="B775" s="11">
        <f>VLOOKUP(A775,[1]HD_price_daily!$A$8:$B$1768,2,0)</f>
        <v>314.43</v>
      </c>
      <c r="C775">
        <f t="shared" si="48"/>
        <v>6.2726021698082945E-3</v>
      </c>
      <c r="D775" s="1" t="str">
        <f t="shared" ca="1" si="49"/>
        <v>=B775/B774-1</v>
      </c>
      <c r="E775" s="8">
        <f>VLOOKUP(A775,'[1]S&amp;P500_DAILY'!$A$8:$B$1768,2,0)</f>
        <v>4097.17</v>
      </c>
      <c r="F775" s="1">
        <f t="shared" si="50"/>
        <v>4.220639958823158E-3</v>
      </c>
      <c r="G775" s="1" t="str">
        <f t="shared" ca="1" si="51"/>
        <v>=E775/E774-1</v>
      </c>
    </row>
    <row r="776" spans="1:7">
      <c r="A776" s="14">
        <v>44295</v>
      </c>
      <c r="B776" s="11">
        <f>VLOOKUP(A776,[1]HD_price_daily!$A$8:$B$1768,2,0)</f>
        <v>319.23</v>
      </c>
      <c r="C776">
        <f t="shared" si="48"/>
        <v>1.5265718919950322E-2</v>
      </c>
      <c r="D776" s="1" t="str">
        <f t="shared" ca="1" si="49"/>
        <v>=B776/B775-1</v>
      </c>
      <c r="E776" s="8">
        <f>VLOOKUP(A776,'[1]S&amp;P500_DAILY'!$A$8:$B$1768,2,0)</f>
        <v>4128.8</v>
      </c>
      <c r="F776" s="1">
        <f t="shared" si="50"/>
        <v>7.7199628035937717E-3</v>
      </c>
      <c r="G776" s="1" t="str">
        <f t="shared" ca="1" si="51"/>
        <v>=E776/E775-1</v>
      </c>
    </row>
    <row r="777" spans="1:7">
      <c r="A777" s="14">
        <v>44298</v>
      </c>
      <c r="B777" s="11">
        <f>VLOOKUP(A777,[1]HD_price_daily!$A$8:$B$1768,2,0)</f>
        <v>320.79000000000002</v>
      </c>
      <c r="C777">
        <f t="shared" si="48"/>
        <v>4.8867587632741571E-3</v>
      </c>
      <c r="D777" s="1" t="str">
        <f t="shared" ca="1" si="49"/>
        <v>=B777/B776-1</v>
      </c>
      <c r="E777" s="8">
        <f>VLOOKUP(A777,'[1]S&amp;P500_DAILY'!$A$8:$B$1768,2,0)</f>
        <v>4127.99</v>
      </c>
      <c r="F777" s="1">
        <f t="shared" si="50"/>
        <v>-1.9618291028877799E-4</v>
      </c>
      <c r="G777" s="1" t="str">
        <f t="shared" ca="1" si="51"/>
        <v>=E777/E776-1</v>
      </c>
    </row>
    <row r="778" spans="1:7">
      <c r="A778" s="14">
        <v>44299</v>
      </c>
      <c r="B778" s="11">
        <f>VLOOKUP(A778,[1]HD_price_daily!$A$8:$B$1768,2,0)</f>
        <v>320.39999999999998</v>
      </c>
      <c r="C778">
        <f t="shared" si="48"/>
        <v>-1.2157486205930379E-3</v>
      </c>
      <c r="D778" s="1" t="str">
        <f t="shared" ca="1" si="49"/>
        <v>=B778/B777-1</v>
      </c>
      <c r="E778" s="8">
        <f>VLOOKUP(A778,'[1]S&amp;P500_DAILY'!$A$8:$B$1768,2,0)</f>
        <v>4141.59</v>
      </c>
      <c r="F778" s="1">
        <f t="shared" si="50"/>
        <v>3.2945816244711601E-3</v>
      </c>
      <c r="G778" s="1" t="str">
        <f t="shared" ca="1" si="51"/>
        <v>=E778/E777-1</v>
      </c>
    </row>
    <row r="779" spans="1:7">
      <c r="A779" s="14">
        <v>44300</v>
      </c>
      <c r="B779" s="11">
        <f>VLOOKUP(A779,[1]HD_price_daily!$A$8:$B$1768,2,0)</f>
        <v>320.02</v>
      </c>
      <c r="C779">
        <f t="shared" si="48"/>
        <v>-1.1860174781522792E-3</v>
      </c>
      <c r="D779" s="1" t="str">
        <f t="shared" ca="1" si="49"/>
        <v>=B779/B778-1</v>
      </c>
      <c r="E779" s="8">
        <f>VLOOKUP(A779,'[1]S&amp;P500_DAILY'!$A$8:$B$1768,2,0)</f>
        <v>4124.66</v>
      </c>
      <c r="F779" s="1">
        <f t="shared" si="50"/>
        <v>-4.0878020277237415E-3</v>
      </c>
      <c r="G779" s="1" t="str">
        <f t="shared" ca="1" si="51"/>
        <v>=E779/E778-1</v>
      </c>
    </row>
    <row r="780" spans="1:7">
      <c r="A780" s="14">
        <v>44301</v>
      </c>
      <c r="B780" s="11">
        <f>VLOOKUP(A780,[1]HD_price_daily!$A$8:$B$1768,2,0)</f>
        <v>322.74</v>
      </c>
      <c r="C780">
        <f t="shared" si="48"/>
        <v>8.4994687832011806E-3</v>
      </c>
      <c r="D780" s="1" t="str">
        <f t="shared" ca="1" si="49"/>
        <v>=B780/B779-1</v>
      </c>
      <c r="E780" s="8">
        <f>VLOOKUP(A780,'[1]S&amp;P500_DAILY'!$A$8:$B$1768,2,0)</f>
        <v>4170.42</v>
      </c>
      <c r="F780" s="1">
        <f t="shared" si="50"/>
        <v>1.1094247768300924E-2</v>
      </c>
      <c r="G780" s="1" t="str">
        <f t="shared" ca="1" si="51"/>
        <v>=E780/E779-1</v>
      </c>
    </row>
    <row r="781" spans="1:7">
      <c r="A781" s="14">
        <v>44302</v>
      </c>
      <c r="B781" s="11">
        <f>VLOOKUP(A781,[1]HD_price_daily!$A$8:$B$1768,2,0)</f>
        <v>328.08</v>
      </c>
      <c r="C781">
        <f t="shared" si="48"/>
        <v>1.6545826361777261E-2</v>
      </c>
      <c r="D781" s="1" t="str">
        <f t="shared" ca="1" si="49"/>
        <v>=B781/B780-1</v>
      </c>
      <c r="E781" s="8">
        <f>VLOOKUP(A781,'[1]S&amp;P500_DAILY'!$A$8:$B$1768,2,0)</f>
        <v>4185.47</v>
      </c>
      <c r="F781" s="1">
        <f t="shared" si="50"/>
        <v>3.6087492386858155E-3</v>
      </c>
      <c r="G781" s="1" t="str">
        <f t="shared" ca="1" si="51"/>
        <v>=E781/E780-1</v>
      </c>
    </row>
    <row r="782" spans="1:7">
      <c r="A782" s="14">
        <v>44305</v>
      </c>
      <c r="B782" s="11">
        <f>VLOOKUP(A782,[1]HD_price_daily!$A$8:$B$1768,2,0)</f>
        <v>326.85000000000002</v>
      </c>
      <c r="C782">
        <f t="shared" si="48"/>
        <v>-3.7490855888806518E-3</v>
      </c>
      <c r="D782" s="1" t="str">
        <f t="shared" ca="1" si="49"/>
        <v>=B782/B781-1</v>
      </c>
      <c r="E782" s="8">
        <f>VLOOKUP(A782,'[1]S&amp;P500_DAILY'!$A$8:$B$1768,2,0)</f>
        <v>4163.26</v>
      </c>
      <c r="F782" s="1">
        <f t="shared" si="50"/>
        <v>-5.3064530387267883E-3</v>
      </c>
      <c r="G782" s="1" t="str">
        <f t="shared" ca="1" si="51"/>
        <v>=E782/E781-1</v>
      </c>
    </row>
    <row r="783" spans="1:7">
      <c r="A783" s="14">
        <v>44306</v>
      </c>
      <c r="B783" s="11">
        <f>VLOOKUP(A783,[1]HD_price_daily!$A$8:$B$1768,2,0)</f>
        <v>323.95999999999998</v>
      </c>
      <c r="C783">
        <f t="shared" si="48"/>
        <v>-8.8419764417929647E-3</v>
      </c>
      <c r="D783" s="1" t="str">
        <f t="shared" ca="1" si="49"/>
        <v>=B783/B782-1</v>
      </c>
      <c r="E783" s="8">
        <f>VLOOKUP(A783,'[1]S&amp;P500_DAILY'!$A$8:$B$1768,2,0)</f>
        <v>4134.9399999999996</v>
      </c>
      <c r="F783" s="1">
        <f t="shared" si="50"/>
        <v>-6.8023616108532359E-3</v>
      </c>
      <c r="G783" s="1" t="str">
        <f t="shared" ca="1" si="51"/>
        <v>=E783/E782-1</v>
      </c>
    </row>
    <row r="784" spans="1:7">
      <c r="A784" s="14">
        <v>44307</v>
      </c>
      <c r="B784" s="11">
        <f>VLOOKUP(A784,[1]HD_price_daily!$A$8:$B$1768,2,0)</f>
        <v>325.95</v>
      </c>
      <c r="C784">
        <f t="shared" si="48"/>
        <v>6.1427336708235192E-3</v>
      </c>
      <c r="D784" s="1" t="str">
        <f t="shared" ca="1" si="49"/>
        <v>=B784/B783-1</v>
      </c>
      <c r="E784" s="8">
        <f>VLOOKUP(A784,'[1]S&amp;P500_DAILY'!$A$8:$B$1768,2,0)</f>
        <v>4173.42</v>
      </c>
      <c r="F784" s="1">
        <f t="shared" si="50"/>
        <v>9.3060600637495661E-3</v>
      </c>
      <c r="G784" s="1" t="str">
        <f t="shared" ca="1" si="51"/>
        <v>=E784/E783-1</v>
      </c>
    </row>
    <row r="785" spans="1:7">
      <c r="A785" s="14">
        <v>44308</v>
      </c>
      <c r="B785" s="11">
        <f>VLOOKUP(A785,[1]HD_price_daily!$A$8:$B$1768,2,0)</f>
        <v>321.45999999999998</v>
      </c>
      <c r="C785">
        <f t="shared" si="48"/>
        <v>-1.3775118883264326E-2</v>
      </c>
      <c r="D785" s="1" t="str">
        <f t="shared" ca="1" si="49"/>
        <v>=B785/B784-1</v>
      </c>
      <c r="E785" s="8">
        <f>VLOOKUP(A785,'[1]S&amp;P500_DAILY'!$A$8:$B$1768,2,0)</f>
        <v>4134.9799999999996</v>
      </c>
      <c r="F785" s="1">
        <f t="shared" si="50"/>
        <v>-9.2106713438859789E-3</v>
      </c>
      <c r="G785" s="1" t="str">
        <f t="shared" ca="1" si="51"/>
        <v>=E785/E784-1</v>
      </c>
    </row>
    <row r="786" spans="1:7">
      <c r="A786" s="14">
        <v>44309</v>
      </c>
      <c r="B786" s="11">
        <f>VLOOKUP(A786,[1]HD_price_daily!$A$8:$B$1768,2,0)</f>
        <v>323.89</v>
      </c>
      <c r="C786">
        <f t="shared" si="48"/>
        <v>7.5592608722703236E-3</v>
      </c>
      <c r="D786" s="1" t="str">
        <f t="shared" ca="1" si="49"/>
        <v>=B786/B785-1</v>
      </c>
      <c r="E786" s="8">
        <f>VLOOKUP(A786,'[1]S&amp;P500_DAILY'!$A$8:$B$1768,2,0)</f>
        <v>4180.17</v>
      </c>
      <c r="F786" s="1">
        <f t="shared" si="50"/>
        <v>1.0928710658818286E-2</v>
      </c>
      <c r="G786" s="1" t="str">
        <f t="shared" ca="1" si="51"/>
        <v>=E786/E785-1</v>
      </c>
    </row>
    <row r="787" spans="1:7">
      <c r="A787" s="14">
        <v>44312</v>
      </c>
      <c r="B787" s="11">
        <f>VLOOKUP(A787,[1]HD_price_daily!$A$8:$B$1768,2,0)</f>
        <v>319.99</v>
      </c>
      <c r="C787">
        <f t="shared" si="48"/>
        <v>-1.204112507332733E-2</v>
      </c>
      <c r="D787" s="1" t="str">
        <f t="shared" ca="1" si="49"/>
        <v>=B787/B786-1</v>
      </c>
      <c r="E787" s="8">
        <f>VLOOKUP(A787,'[1]S&amp;P500_DAILY'!$A$8:$B$1768,2,0)</f>
        <v>4187.62</v>
      </c>
      <c r="F787" s="1">
        <f t="shared" si="50"/>
        <v>1.782224167916624E-3</v>
      </c>
      <c r="G787" s="1" t="str">
        <f t="shared" ca="1" si="51"/>
        <v>=E787/E786-1</v>
      </c>
    </row>
    <row r="788" spans="1:7">
      <c r="A788" s="14">
        <v>44313</v>
      </c>
      <c r="B788" s="11">
        <f>VLOOKUP(A788,[1]HD_price_daily!$A$8:$B$1768,2,0)</f>
        <v>320.58999999999997</v>
      </c>
      <c r="C788">
        <f t="shared" si="48"/>
        <v>1.8750585955809029E-3</v>
      </c>
      <c r="D788" s="1" t="str">
        <f t="shared" ca="1" si="49"/>
        <v>=B788/B787-1</v>
      </c>
      <c r="E788" s="8">
        <f>VLOOKUP(A788,'[1]S&amp;P500_DAILY'!$A$8:$B$1768,2,0)</f>
        <v>4186.72</v>
      </c>
      <c r="F788" s="1">
        <f t="shared" si="50"/>
        <v>-2.1491921425531579E-4</v>
      </c>
      <c r="G788" s="1" t="str">
        <f t="shared" ca="1" si="51"/>
        <v>=E788/E787-1</v>
      </c>
    </row>
    <row r="789" spans="1:7">
      <c r="A789" s="14">
        <v>44314</v>
      </c>
      <c r="B789" s="11">
        <f>VLOOKUP(A789,[1]HD_price_daily!$A$8:$B$1768,2,0)</f>
        <v>319.70999999999998</v>
      </c>
      <c r="C789">
        <f t="shared" si="48"/>
        <v>-2.7449390186843337E-3</v>
      </c>
      <c r="D789" s="1" t="str">
        <f t="shared" ca="1" si="49"/>
        <v>=B789/B788-1</v>
      </c>
      <c r="E789" s="8">
        <f>VLOOKUP(A789,'[1]S&amp;P500_DAILY'!$A$8:$B$1768,2,0)</f>
        <v>4183.18</v>
      </c>
      <c r="F789" s="1">
        <f t="shared" si="50"/>
        <v>-8.4553063018300012E-4</v>
      </c>
      <c r="G789" s="1" t="str">
        <f t="shared" ca="1" si="51"/>
        <v>=E789/E788-1</v>
      </c>
    </row>
    <row r="790" spans="1:7">
      <c r="A790" s="14">
        <v>44315</v>
      </c>
      <c r="B790" s="11">
        <f>VLOOKUP(A790,[1]HD_price_daily!$A$8:$B$1768,2,0)</f>
        <v>325.33999999999997</v>
      </c>
      <c r="C790">
        <f t="shared" si="48"/>
        <v>1.7609708798598689E-2</v>
      </c>
      <c r="D790" s="1" t="str">
        <f t="shared" ca="1" si="49"/>
        <v>=B790/B789-1</v>
      </c>
      <c r="E790" s="8">
        <f>VLOOKUP(A790,'[1]S&amp;P500_DAILY'!$A$8:$B$1768,2,0)</f>
        <v>4211.47</v>
      </c>
      <c r="F790" s="1">
        <f t="shared" si="50"/>
        <v>6.7627976802335787E-3</v>
      </c>
      <c r="G790" s="1" t="str">
        <f t="shared" ca="1" si="51"/>
        <v>=E790/E789-1</v>
      </c>
    </row>
    <row r="791" spans="1:7">
      <c r="A791" s="14">
        <v>44316</v>
      </c>
      <c r="B791" s="11">
        <f>VLOOKUP(A791,[1]HD_price_daily!$A$8:$B$1768,2,0)</f>
        <v>323.67</v>
      </c>
      <c r="C791">
        <f t="shared" si="48"/>
        <v>-5.1330915350094042E-3</v>
      </c>
      <c r="D791" s="1" t="str">
        <f t="shared" ca="1" si="49"/>
        <v>=B791/B790-1</v>
      </c>
      <c r="E791" s="8">
        <f>VLOOKUP(A791,'[1]S&amp;P500_DAILY'!$A$8:$B$1768,2,0)</f>
        <v>4181.17</v>
      </c>
      <c r="F791" s="1">
        <f t="shared" si="50"/>
        <v>-7.1946375018698827E-3</v>
      </c>
      <c r="G791" s="1" t="str">
        <f t="shared" ca="1" si="51"/>
        <v>=E791/E790-1</v>
      </c>
    </row>
    <row r="792" spans="1:7">
      <c r="A792" s="14">
        <v>44319</v>
      </c>
      <c r="B792" s="11">
        <f>VLOOKUP(A792,[1]HD_price_daily!$A$8:$B$1768,2,0)</f>
        <v>330.27</v>
      </c>
      <c r="C792">
        <f t="shared" si="48"/>
        <v>2.0391139123180801E-2</v>
      </c>
      <c r="D792" s="1" t="str">
        <f t="shared" ca="1" si="49"/>
        <v>=B792/B791-1</v>
      </c>
      <c r="E792" s="8">
        <f>VLOOKUP(A792,'[1]S&amp;P500_DAILY'!$A$8:$B$1768,2,0)</f>
        <v>4192.66</v>
      </c>
      <c r="F792" s="1">
        <f t="shared" si="50"/>
        <v>2.7480346410215795E-3</v>
      </c>
      <c r="G792" s="1" t="str">
        <f t="shared" ca="1" si="51"/>
        <v>=E792/E791-1</v>
      </c>
    </row>
    <row r="793" spans="1:7">
      <c r="A793" s="14">
        <v>44320</v>
      </c>
      <c r="B793" s="11">
        <f>VLOOKUP(A793,[1]HD_price_daily!$A$8:$B$1768,2,0)</f>
        <v>332.77</v>
      </c>
      <c r="C793">
        <f t="shared" si="48"/>
        <v>7.5695642958790721E-3</v>
      </c>
      <c r="D793" s="1" t="str">
        <f t="shared" ca="1" si="49"/>
        <v>=B793/B792-1</v>
      </c>
      <c r="E793" s="8">
        <f>VLOOKUP(A793,'[1]S&amp;P500_DAILY'!$A$8:$B$1768,2,0)</f>
        <v>4164.66</v>
      </c>
      <c r="F793" s="1">
        <f t="shared" si="50"/>
        <v>-6.6783378571121377E-3</v>
      </c>
      <c r="G793" s="1" t="str">
        <f t="shared" ca="1" si="51"/>
        <v>=E793/E792-1</v>
      </c>
    </row>
    <row r="794" spans="1:7">
      <c r="A794" s="14">
        <v>44321</v>
      </c>
      <c r="B794" s="11">
        <f>VLOOKUP(A794,[1]HD_price_daily!$A$8:$B$1768,2,0)</f>
        <v>332.05</v>
      </c>
      <c r="C794">
        <f t="shared" si="48"/>
        <v>-2.1636565796194773E-3</v>
      </c>
      <c r="D794" s="1" t="str">
        <f t="shared" ca="1" si="49"/>
        <v>=B794/B793-1</v>
      </c>
      <c r="E794" s="8">
        <f>VLOOKUP(A794,'[1]S&amp;P500_DAILY'!$A$8:$B$1768,2,0)</f>
        <v>4167.59</v>
      </c>
      <c r="F794" s="1">
        <f t="shared" si="50"/>
        <v>7.0353882429774472E-4</v>
      </c>
      <c r="G794" s="1" t="str">
        <f t="shared" ca="1" si="51"/>
        <v>=E794/E793-1</v>
      </c>
    </row>
    <row r="795" spans="1:7">
      <c r="A795" s="14">
        <v>44322</v>
      </c>
      <c r="B795" s="11">
        <f>VLOOKUP(A795,[1]HD_price_daily!$A$8:$B$1768,2,0)</f>
        <v>337.58</v>
      </c>
      <c r="C795">
        <f t="shared" si="48"/>
        <v>1.6654118355669212E-2</v>
      </c>
      <c r="D795" s="1" t="str">
        <f t="shared" ca="1" si="49"/>
        <v>=B795/B794-1</v>
      </c>
      <c r="E795" s="8">
        <f>VLOOKUP(A795,'[1]S&amp;P500_DAILY'!$A$8:$B$1768,2,0)</f>
        <v>4201.62</v>
      </c>
      <c r="F795" s="1">
        <f t="shared" si="50"/>
        <v>8.1653905494540879E-3</v>
      </c>
      <c r="G795" s="1" t="str">
        <f t="shared" ca="1" si="51"/>
        <v>=E795/E794-1</v>
      </c>
    </row>
    <row r="796" spans="1:7">
      <c r="A796" s="14">
        <v>44323</v>
      </c>
      <c r="B796" s="11">
        <f>VLOOKUP(A796,[1]HD_price_daily!$A$8:$B$1768,2,0)</f>
        <v>339.25</v>
      </c>
      <c r="C796">
        <f t="shared" si="48"/>
        <v>4.9469755317259612E-3</v>
      </c>
      <c r="D796" s="1" t="str">
        <f t="shared" ca="1" si="49"/>
        <v>=B796/B795-1</v>
      </c>
      <c r="E796" s="8">
        <f>VLOOKUP(A796,'[1]S&amp;P500_DAILY'!$A$8:$B$1768,2,0)</f>
        <v>4232.6000000000004</v>
      </c>
      <c r="F796" s="1">
        <f t="shared" si="50"/>
        <v>7.3733464711231989E-3</v>
      </c>
      <c r="G796" s="1" t="str">
        <f t="shared" ca="1" si="51"/>
        <v>=E796/E795-1</v>
      </c>
    </row>
    <row r="797" spans="1:7">
      <c r="A797" s="14">
        <v>44326</v>
      </c>
      <c r="B797" s="11">
        <f>VLOOKUP(A797,[1]HD_price_daily!$A$8:$B$1768,2,0)</f>
        <v>341.12</v>
      </c>
      <c r="C797">
        <f t="shared" si="48"/>
        <v>5.5121591746498666E-3</v>
      </c>
      <c r="D797" s="1" t="str">
        <f t="shared" ca="1" si="49"/>
        <v>=B797/B796-1</v>
      </c>
      <c r="E797" s="8">
        <f>VLOOKUP(A797,'[1]S&amp;P500_DAILY'!$A$8:$B$1768,2,0)</f>
        <v>4188.43</v>
      </c>
      <c r="F797" s="1">
        <f t="shared" si="50"/>
        <v>-1.0435666020885526E-2</v>
      </c>
      <c r="G797" s="1" t="str">
        <f t="shared" ca="1" si="51"/>
        <v>=E797/E796-1</v>
      </c>
    </row>
    <row r="798" spans="1:7">
      <c r="A798" s="14">
        <v>44327</v>
      </c>
      <c r="B798" s="11">
        <f>VLOOKUP(A798,[1]HD_price_daily!$A$8:$B$1768,2,0)</f>
        <v>330.66</v>
      </c>
      <c r="C798">
        <f t="shared" si="48"/>
        <v>-3.0663696060037493E-2</v>
      </c>
      <c r="D798" s="1" t="str">
        <f t="shared" ca="1" si="49"/>
        <v>=B798/B797-1</v>
      </c>
      <c r="E798" s="8">
        <f>VLOOKUP(A798,'[1]S&amp;P500_DAILY'!$A$8:$B$1768,2,0)</f>
        <v>4152.1000000000004</v>
      </c>
      <c r="F798" s="1">
        <f t="shared" si="50"/>
        <v>-8.6738945141735524E-3</v>
      </c>
      <c r="G798" s="1" t="str">
        <f t="shared" ca="1" si="51"/>
        <v>=E798/E797-1</v>
      </c>
    </row>
    <row r="799" spans="1:7">
      <c r="A799" s="14">
        <v>44328</v>
      </c>
      <c r="B799" s="11">
        <f>VLOOKUP(A799,[1]HD_price_daily!$A$8:$B$1768,2,0)</f>
        <v>317</v>
      </c>
      <c r="C799">
        <f t="shared" si="48"/>
        <v>-4.1311316760418659E-2</v>
      </c>
      <c r="D799" s="1" t="str">
        <f t="shared" ca="1" si="49"/>
        <v>=B799/B798-1</v>
      </c>
      <c r="E799" s="8">
        <f>VLOOKUP(A799,'[1]S&amp;P500_DAILY'!$A$8:$B$1768,2,0)</f>
        <v>4063.04</v>
      </c>
      <c r="F799" s="1">
        <f t="shared" si="50"/>
        <v>-2.1449387057151936E-2</v>
      </c>
      <c r="G799" s="1" t="str">
        <f t="shared" ca="1" si="51"/>
        <v>=E799/E798-1</v>
      </c>
    </row>
    <row r="800" spans="1:7">
      <c r="A800" s="14">
        <v>44329</v>
      </c>
      <c r="B800" s="11">
        <f>VLOOKUP(A800,[1]HD_price_daily!$A$8:$B$1768,2,0)</f>
        <v>325.42</v>
      </c>
      <c r="C800">
        <f t="shared" si="48"/>
        <v>2.6561514195583724E-2</v>
      </c>
      <c r="D800" s="1" t="str">
        <f t="shared" ca="1" si="49"/>
        <v>=B800/B799-1</v>
      </c>
      <c r="E800" s="8">
        <f>VLOOKUP(A800,'[1]S&amp;P500_DAILY'!$A$8:$B$1768,2,0)</f>
        <v>4112.5</v>
      </c>
      <c r="F800" s="1">
        <f t="shared" si="50"/>
        <v>1.2173151138064053E-2</v>
      </c>
      <c r="G800" s="1" t="str">
        <f t="shared" ca="1" si="51"/>
        <v>=E800/E799-1</v>
      </c>
    </row>
    <row r="801" spans="1:7">
      <c r="A801" s="14">
        <v>44330</v>
      </c>
      <c r="B801" s="11">
        <f>VLOOKUP(A801,[1]HD_price_daily!$A$8:$B$1768,2,0)</f>
        <v>323.63</v>
      </c>
      <c r="C801">
        <f t="shared" si="48"/>
        <v>-5.5005838608568336E-3</v>
      </c>
      <c r="D801" s="1" t="str">
        <f t="shared" ca="1" si="49"/>
        <v>=B801/B800-1</v>
      </c>
      <c r="E801" s="8">
        <f>VLOOKUP(A801,'[1]S&amp;P500_DAILY'!$A$8:$B$1768,2,0)</f>
        <v>4173.8500000000004</v>
      </c>
      <c r="F801" s="1">
        <f t="shared" si="50"/>
        <v>1.4917933130699224E-2</v>
      </c>
      <c r="G801" s="1" t="str">
        <f t="shared" ca="1" si="51"/>
        <v>=E801/E800-1</v>
      </c>
    </row>
    <row r="802" spans="1:7">
      <c r="A802" s="14">
        <v>44333</v>
      </c>
      <c r="B802" s="11">
        <f>VLOOKUP(A802,[1]HD_price_daily!$A$8:$B$1768,2,0)</f>
        <v>320.01</v>
      </c>
      <c r="C802">
        <f t="shared" si="48"/>
        <v>-1.118561320025957E-2</v>
      </c>
      <c r="D802" s="1" t="str">
        <f t="shared" ca="1" si="49"/>
        <v>=B802/B801-1</v>
      </c>
      <c r="E802" s="8">
        <f>VLOOKUP(A802,'[1]S&amp;P500_DAILY'!$A$8:$B$1768,2,0)</f>
        <v>4163.29</v>
      </c>
      <c r="F802" s="1">
        <f t="shared" si="50"/>
        <v>-2.5300382141189015E-3</v>
      </c>
      <c r="G802" s="1" t="str">
        <f t="shared" ca="1" si="51"/>
        <v>=E802/E801-1</v>
      </c>
    </row>
    <row r="803" spans="1:7">
      <c r="A803" s="14">
        <v>44334</v>
      </c>
      <c r="B803" s="11">
        <f>VLOOKUP(A803,[1]HD_price_daily!$A$8:$B$1768,2,0)</f>
        <v>316.75</v>
      </c>
      <c r="C803">
        <f t="shared" si="48"/>
        <v>-1.0187181650573418E-2</v>
      </c>
      <c r="D803" s="1" t="str">
        <f t="shared" ca="1" si="49"/>
        <v>=B803/B802-1</v>
      </c>
      <c r="E803" s="8">
        <f>VLOOKUP(A803,'[1]S&amp;P500_DAILY'!$A$8:$B$1768,2,0)</f>
        <v>4127.83</v>
      </c>
      <c r="F803" s="1">
        <f t="shared" si="50"/>
        <v>-8.5173024218827553E-3</v>
      </c>
      <c r="G803" s="1" t="str">
        <f t="shared" ca="1" si="51"/>
        <v>=E803/E802-1</v>
      </c>
    </row>
    <row r="804" spans="1:7">
      <c r="A804" s="14">
        <v>44335</v>
      </c>
      <c r="B804" s="11">
        <f>VLOOKUP(A804,[1]HD_price_daily!$A$8:$B$1768,2,0)</f>
        <v>314.45</v>
      </c>
      <c r="C804">
        <f t="shared" si="48"/>
        <v>-7.2612470402525497E-3</v>
      </c>
      <c r="D804" s="1" t="str">
        <f t="shared" ca="1" si="49"/>
        <v>=B804/B803-1</v>
      </c>
      <c r="E804" s="8">
        <f>VLOOKUP(A804,'[1]S&amp;P500_DAILY'!$A$8:$B$1768,2,0)</f>
        <v>4115.68</v>
      </c>
      <c r="F804" s="1">
        <f t="shared" si="50"/>
        <v>-2.9434351705374118E-3</v>
      </c>
      <c r="G804" s="1" t="str">
        <f t="shared" ca="1" si="51"/>
        <v>=E804/E803-1</v>
      </c>
    </row>
    <row r="805" spans="1:7">
      <c r="A805" s="14">
        <v>44336</v>
      </c>
      <c r="B805" s="11">
        <f>VLOOKUP(A805,[1]HD_price_daily!$A$8:$B$1768,2,0)</f>
        <v>315.89999999999998</v>
      </c>
      <c r="C805">
        <f t="shared" si="48"/>
        <v>4.6112259500714625E-3</v>
      </c>
      <c r="D805" s="1" t="str">
        <f t="shared" ca="1" si="49"/>
        <v>=B805/B804-1</v>
      </c>
      <c r="E805" s="8">
        <f>VLOOKUP(A805,'[1]S&amp;P500_DAILY'!$A$8:$B$1768,2,0)</f>
        <v>4159.12</v>
      </c>
      <c r="F805" s="1">
        <f t="shared" si="50"/>
        <v>1.0554756443649449E-2</v>
      </c>
      <c r="G805" s="1" t="str">
        <f t="shared" ca="1" si="51"/>
        <v>=E805/E804-1</v>
      </c>
    </row>
    <row r="806" spans="1:7">
      <c r="A806" s="14">
        <v>44337</v>
      </c>
      <c r="B806" s="11">
        <f>VLOOKUP(A806,[1]HD_price_daily!$A$8:$B$1768,2,0)</f>
        <v>315.77</v>
      </c>
      <c r="C806">
        <f t="shared" si="48"/>
        <v>-4.115226337448874E-4</v>
      </c>
      <c r="D806" s="1" t="str">
        <f t="shared" ca="1" si="49"/>
        <v>=B806/B805-1</v>
      </c>
      <c r="E806" s="8">
        <f>VLOOKUP(A806,'[1]S&amp;P500_DAILY'!$A$8:$B$1768,2,0)</f>
        <v>4155.8599999999997</v>
      </c>
      <c r="F806" s="1">
        <f t="shared" si="50"/>
        <v>-7.8381965415763588E-4</v>
      </c>
      <c r="G806" s="1" t="str">
        <f t="shared" ca="1" si="51"/>
        <v>=E806/E805-1</v>
      </c>
    </row>
    <row r="807" spans="1:7">
      <c r="A807" s="14">
        <v>44340</v>
      </c>
      <c r="B807" s="11">
        <f>VLOOKUP(A807,[1]HD_price_daily!$A$8:$B$1768,2,0)</f>
        <v>314.83999999999997</v>
      </c>
      <c r="C807">
        <f t="shared" si="48"/>
        <v>-2.945181619533277E-3</v>
      </c>
      <c r="D807" s="1" t="str">
        <f t="shared" ca="1" si="49"/>
        <v>=B807/B806-1</v>
      </c>
      <c r="E807" s="8">
        <f>VLOOKUP(A807,'[1]S&amp;P500_DAILY'!$A$8:$B$1768,2,0)</f>
        <v>4197.05</v>
      </c>
      <c r="F807" s="1">
        <f t="shared" si="50"/>
        <v>9.9113059631461553E-3</v>
      </c>
      <c r="G807" s="1" t="str">
        <f t="shared" ca="1" si="51"/>
        <v>=E807/E806-1</v>
      </c>
    </row>
    <row r="808" spans="1:7">
      <c r="A808" s="14">
        <v>44341</v>
      </c>
      <c r="B808" s="11">
        <f>VLOOKUP(A808,[1]HD_price_daily!$A$8:$B$1768,2,0)</f>
        <v>316.75</v>
      </c>
      <c r="C808">
        <f t="shared" si="48"/>
        <v>6.0665734976497188E-3</v>
      </c>
      <c r="D808" s="1" t="str">
        <f t="shared" ca="1" si="49"/>
        <v>=B808/B807-1</v>
      </c>
      <c r="E808" s="8">
        <f>VLOOKUP(A808,'[1]S&amp;P500_DAILY'!$A$8:$B$1768,2,0)</f>
        <v>4188.13</v>
      </c>
      <c r="F808" s="1">
        <f t="shared" si="50"/>
        <v>-2.1253022956601031E-3</v>
      </c>
      <c r="G808" s="1" t="str">
        <f t="shared" ca="1" si="51"/>
        <v>=E808/E807-1</v>
      </c>
    </row>
    <row r="809" spans="1:7">
      <c r="A809" s="14">
        <v>44342</v>
      </c>
      <c r="B809" s="11">
        <f>VLOOKUP(A809,[1]HD_price_daily!$A$8:$B$1768,2,0)</f>
        <v>317.33</v>
      </c>
      <c r="C809">
        <f t="shared" si="48"/>
        <v>1.8310970797157378E-3</v>
      </c>
      <c r="D809" s="1" t="str">
        <f t="shared" ca="1" si="49"/>
        <v>=B809/B808-1</v>
      </c>
      <c r="E809" s="8">
        <f>VLOOKUP(A809,'[1]S&amp;P500_DAILY'!$A$8:$B$1768,2,0)</f>
        <v>4195.99</v>
      </c>
      <c r="F809" s="1">
        <f t="shared" si="50"/>
        <v>1.876732575158746E-3</v>
      </c>
      <c r="G809" s="1" t="str">
        <f t="shared" ca="1" si="51"/>
        <v>=E809/E808-1</v>
      </c>
    </row>
    <row r="810" spans="1:7">
      <c r="A810" s="14">
        <v>44343</v>
      </c>
      <c r="B810" s="11">
        <f>VLOOKUP(A810,[1]HD_price_daily!$A$8:$B$1768,2,0)</f>
        <v>318.77</v>
      </c>
      <c r="C810">
        <f t="shared" si="48"/>
        <v>4.5378627926764281E-3</v>
      </c>
      <c r="D810" s="1" t="str">
        <f t="shared" ca="1" si="49"/>
        <v>=B810/B809-1</v>
      </c>
      <c r="E810" s="8">
        <f>VLOOKUP(A810,'[1]S&amp;P500_DAILY'!$A$8:$B$1768,2,0)</f>
        <v>4200.88</v>
      </c>
      <c r="F810" s="1">
        <f t="shared" si="50"/>
        <v>1.1653983922745859E-3</v>
      </c>
      <c r="G810" s="1" t="str">
        <f t="shared" ca="1" si="51"/>
        <v>=E810/E809-1</v>
      </c>
    </row>
    <row r="811" spans="1:7">
      <c r="A811" s="14">
        <v>44344</v>
      </c>
      <c r="B811" s="11">
        <f>VLOOKUP(A811,[1]HD_price_daily!$A$8:$B$1768,2,0)</f>
        <v>318.91000000000003</v>
      </c>
      <c r="C811">
        <f t="shared" si="48"/>
        <v>4.3918812937238094E-4</v>
      </c>
      <c r="D811" s="1" t="str">
        <f t="shared" ca="1" si="49"/>
        <v>=B811/B810-1</v>
      </c>
      <c r="E811" s="8">
        <f>VLOOKUP(A811,'[1]S&amp;P500_DAILY'!$A$8:$B$1768,2,0)</f>
        <v>4204.1099999999997</v>
      </c>
      <c r="F811" s="1">
        <f t="shared" si="50"/>
        <v>7.688865190149663E-4</v>
      </c>
      <c r="G811" s="1" t="str">
        <f t="shared" ca="1" si="51"/>
        <v>=E811/E810-1</v>
      </c>
    </row>
    <row r="812" spans="1:7">
      <c r="A812" s="14">
        <v>44348</v>
      </c>
      <c r="B812" s="11">
        <f>VLOOKUP(A812,[1]HD_price_daily!$A$8:$B$1768,2,0)</f>
        <v>316.31</v>
      </c>
      <c r="C812">
        <f t="shared" si="48"/>
        <v>-8.1527703740867929E-3</v>
      </c>
      <c r="D812" s="1" t="str">
        <f t="shared" ca="1" si="49"/>
        <v>=B812/B811-1</v>
      </c>
      <c r="E812" s="8">
        <f>VLOOKUP(A812,'[1]S&amp;P500_DAILY'!$A$8:$B$1768,2,0)</f>
        <v>4202.04</v>
      </c>
      <c r="F812" s="1">
        <f t="shared" si="50"/>
        <v>-4.923753184382651E-4</v>
      </c>
      <c r="G812" s="1" t="str">
        <f t="shared" ca="1" si="51"/>
        <v>=E812/E811-1</v>
      </c>
    </row>
    <row r="813" spans="1:7">
      <c r="A813" s="14">
        <v>44349</v>
      </c>
      <c r="B813" s="11">
        <f>VLOOKUP(A813,[1]HD_price_daily!$A$8:$B$1768,2,0)</f>
        <v>313.23</v>
      </c>
      <c r="C813">
        <f t="shared" si="48"/>
        <v>-9.7372830451138981E-3</v>
      </c>
      <c r="D813" s="1" t="str">
        <f t="shared" ca="1" si="49"/>
        <v>=B813/B812-1</v>
      </c>
      <c r="E813" s="8">
        <f>VLOOKUP(A813,'[1]S&amp;P500_DAILY'!$A$8:$B$1768,2,0)</f>
        <v>4208.12</v>
      </c>
      <c r="F813" s="1">
        <f t="shared" si="50"/>
        <v>1.4469162597214869E-3</v>
      </c>
      <c r="G813" s="1" t="str">
        <f t="shared" ca="1" si="51"/>
        <v>=E813/E812-1</v>
      </c>
    </row>
    <row r="814" spans="1:7">
      <c r="A814" s="14">
        <v>44350</v>
      </c>
      <c r="B814" s="11">
        <f>VLOOKUP(A814,[1]HD_price_daily!$A$8:$B$1768,2,0)</f>
        <v>311.43</v>
      </c>
      <c r="C814">
        <f t="shared" si="48"/>
        <v>-5.7465759984676179E-3</v>
      </c>
      <c r="D814" s="1" t="str">
        <f t="shared" ca="1" si="49"/>
        <v>=B814/B813-1</v>
      </c>
      <c r="E814" s="8">
        <f>VLOOKUP(A814,'[1]S&amp;P500_DAILY'!$A$8:$B$1768,2,0)</f>
        <v>4192.8500000000004</v>
      </c>
      <c r="F814" s="1">
        <f t="shared" si="50"/>
        <v>-3.6286988013648491E-3</v>
      </c>
      <c r="G814" s="1" t="str">
        <f t="shared" ca="1" si="51"/>
        <v>=E814/E813-1</v>
      </c>
    </row>
    <row r="815" spans="1:7">
      <c r="A815" s="14">
        <v>44351</v>
      </c>
      <c r="B815" s="11">
        <f>VLOOKUP(A815,[1]HD_price_daily!$A$8:$B$1768,2,0)</f>
        <v>311.01</v>
      </c>
      <c r="C815">
        <f t="shared" si="48"/>
        <v>-1.3486176668915384E-3</v>
      </c>
      <c r="D815" s="1" t="str">
        <f t="shared" ca="1" si="49"/>
        <v>=B815/B814-1</v>
      </c>
      <c r="E815" s="8">
        <f>VLOOKUP(A815,'[1]S&amp;P500_DAILY'!$A$8:$B$1768,2,0)</f>
        <v>4229.8900000000003</v>
      </c>
      <c r="F815" s="1">
        <f t="shared" si="50"/>
        <v>8.8340865998068896E-3</v>
      </c>
      <c r="G815" s="1" t="str">
        <f t="shared" ca="1" si="51"/>
        <v>=E815/E814-1</v>
      </c>
    </row>
    <row r="816" spans="1:7">
      <c r="A816" s="14">
        <v>44354</v>
      </c>
      <c r="B816" s="11">
        <f>VLOOKUP(A816,[1]HD_price_daily!$A$8:$B$1768,2,0)</f>
        <v>309.95999999999998</v>
      </c>
      <c r="C816">
        <f t="shared" si="48"/>
        <v>-3.3760972316002613E-3</v>
      </c>
      <c r="D816" s="1" t="str">
        <f t="shared" ca="1" si="49"/>
        <v>=B816/B815-1</v>
      </c>
      <c r="E816" s="8">
        <f>VLOOKUP(A816,'[1]S&amp;P500_DAILY'!$A$8:$B$1768,2,0)</f>
        <v>4226.5200000000004</v>
      </c>
      <c r="F816" s="1">
        <f t="shared" si="50"/>
        <v>-7.9671102558220852E-4</v>
      </c>
      <c r="G816" s="1" t="str">
        <f t="shared" ca="1" si="51"/>
        <v>=E816/E815-1</v>
      </c>
    </row>
    <row r="817" spans="1:7">
      <c r="A817" s="14">
        <v>44355</v>
      </c>
      <c r="B817" s="11">
        <f>VLOOKUP(A817,[1]HD_price_daily!$A$8:$B$1768,2,0)</f>
        <v>310.89999999999998</v>
      </c>
      <c r="C817">
        <f t="shared" si="48"/>
        <v>3.0326493741128502E-3</v>
      </c>
      <c r="D817" s="1" t="str">
        <f t="shared" ca="1" si="49"/>
        <v>=B817/B816-1</v>
      </c>
      <c r="E817" s="8">
        <f>VLOOKUP(A817,'[1]S&amp;P500_DAILY'!$A$8:$B$1768,2,0)</f>
        <v>4227.26</v>
      </c>
      <c r="F817" s="1">
        <f t="shared" si="50"/>
        <v>1.7508493985585183E-4</v>
      </c>
      <c r="G817" s="1" t="str">
        <f t="shared" ca="1" si="51"/>
        <v>=E817/E816-1</v>
      </c>
    </row>
    <row r="818" spans="1:7">
      <c r="A818" s="14">
        <v>44356</v>
      </c>
      <c r="B818" s="11">
        <f>VLOOKUP(A818,[1]HD_price_daily!$A$8:$B$1768,2,0)</f>
        <v>307.33999999999997</v>
      </c>
      <c r="C818">
        <f t="shared" si="48"/>
        <v>-1.1450627211321951E-2</v>
      </c>
      <c r="D818" s="1" t="str">
        <f t="shared" ca="1" si="49"/>
        <v>=B818/B817-1</v>
      </c>
      <c r="E818" s="8">
        <f>VLOOKUP(A818,'[1]S&amp;P500_DAILY'!$A$8:$B$1768,2,0)</f>
        <v>4219.55</v>
      </c>
      <c r="F818" s="1">
        <f t="shared" si="50"/>
        <v>-1.8238764589828538E-3</v>
      </c>
      <c r="G818" s="1" t="str">
        <f t="shared" ca="1" si="51"/>
        <v>=E818/E817-1</v>
      </c>
    </row>
    <row r="819" spans="1:7">
      <c r="A819" s="14">
        <v>44357</v>
      </c>
      <c r="B819" s="11">
        <f>VLOOKUP(A819,[1]HD_price_daily!$A$8:$B$1768,2,0)</f>
        <v>308.31</v>
      </c>
      <c r="C819">
        <f t="shared" si="48"/>
        <v>3.1561137502440495E-3</v>
      </c>
      <c r="D819" s="1" t="str">
        <f t="shared" ca="1" si="49"/>
        <v>=B819/B818-1</v>
      </c>
      <c r="E819" s="8">
        <f>VLOOKUP(A819,'[1]S&amp;P500_DAILY'!$A$8:$B$1768,2,0)</f>
        <v>4239.18</v>
      </c>
      <c r="F819" s="1">
        <f t="shared" si="50"/>
        <v>4.652154850635748E-3</v>
      </c>
      <c r="G819" s="1" t="str">
        <f t="shared" ca="1" si="51"/>
        <v>=E819/E818-1</v>
      </c>
    </row>
    <row r="820" spans="1:7">
      <c r="A820" s="14">
        <v>44358</v>
      </c>
      <c r="B820" s="11">
        <f>VLOOKUP(A820,[1]HD_price_daily!$A$8:$B$1768,2,0)</f>
        <v>310.77</v>
      </c>
      <c r="C820">
        <f t="shared" si="48"/>
        <v>7.9789821932469973E-3</v>
      </c>
      <c r="D820" s="1" t="str">
        <f t="shared" ca="1" si="49"/>
        <v>=B820/B819-1</v>
      </c>
      <c r="E820" s="8">
        <f>VLOOKUP(A820,'[1]S&amp;P500_DAILY'!$A$8:$B$1768,2,0)</f>
        <v>4247.4399999999996</v>
      </c>
      <c r="F820" s="1">
        <f t="shared" si="50"/>
        <v>1.9484900381676606E-3</v>
      </c>
      <c r="G820" s="1" t="str">
        <f t="shared" ca="1" si="51"/>
        <v>=E820/E819-1</v>
      </c>
    </row>
    <row r="821" spans="1:7">
      <c r="A821" s="14">
        <v>44361</v>
      </c>
      <c r="B821" s="11">
        <f>VLOOKUP(A821,[1]HD_price_daily!$A$8:$B$1768,2,0)</f>
        <v>309.32</v>
      </c>
      <c r="C821">
        <f t="shared" si="48"/>
        <v>-4.6658300350741477E-3</v>
      </c>
      <c r="D821" s="1" t="str">
        <f t="shared" ca="1" si="49"/>
        <v>=B821/B820-1</v>
      </c>
      <c r="E821" s="8">
        <f>VLOOKUP(A821,'[1]S&amp;P500_DAILY'!$A$8:$B$1768,2,0)</f>
        <v>4255.1499999999996</v>
      </c>
      <c r="F821" s="1">
        <f t="shared" si="50"/>
        <v>1.8152110447704484E-3</v>
      </c>
      <c r="G821" s="1" t="str">
        <f t="shared" ca="1" si="51"/>
        <v>=E821/E820-1</v>
      </c>
    </row>
    <row r="822" spans="1:7">
      <c r="A822" s="14">
        <v>44362</v>
      </c>
      <c r="B822" s="11">
        <f>VLOOKUP(A822,[1]HD_price_daily!$A$8:$B$1768,2,0)</f>
        <v>306.45</v>
      </c>
      <c r="C822">
        <f t="shared" si="48"/>
        <v>-9.2784171731540299E-3</v>
      </c>
      <c r="D822" s="1" t="str">
        <f t="shared" ca="1" si="49"/>
        <v>=B822/B821-1</v>
      </c>
      <c r="E822" s="8">
        <f>VLOOKUP(A822,'[1]S&amp;P500_DAILY'!$A$8:$B$1768,2,0)</f>
        <v>4246.59</v>
      </c>
      <c r="F822" s="1">
        <f t="shared" si="50"/>
        <v>-2.0116799642784233E-3</v>
      </c>
      <c r="G822" s="1" t="str">
        <f t="shared" ca="1" si="51"/>
        <v>=E822/E821-1</v>
      </c>
    </row>
    <row r="823" spans="1:7">
      <c r="A823" s="14">
        <v>44363</v>
      </c>
      <c r="B823" s="11">
        <f>VLOOKUP(A823,[1]HD_price_daily!$A$8:$B$1768,2,0)</f>
        <v>302.77999999999997</v>
      </c>
      <c r="C823">
        <f t="shared" si="48"/>
        <v>-1.1975852504486961E-2</v>
      </c>
      <c r="D823" s="1" t="str">
        <f t="shared" ca="1" si="49"/>
        <v>=B823/B822-1</v>
      </c>
      <c r="E823" s="8">
        <f>VLOOKUP(A823,'[1]S&amp;P500_DAILY'!$A$8:$B$1768,2,0)</f>
        <v>4223.7</v>
      </c>
      <c r="F823" s="1">
        <f t="shared" si="50"/>
        <v>-5.3902072015429292E-3</v>
      </c>
      <c r="G823" s="1" t="str">
        <f t="shared" ca="1" si="51"/>
        <v>=E823/E822-1</v>
      </c>
    </row>
    <row r="824" spans="1:7">
      <c r="A824" s="14">
        <v>44364</v>
      </c>
      <c r="B824" s="11">
        <f>VLOOKUP(A824,[1]HD_price_daily!$A$8:$B$1768,2,0)</f>
        <v>303.12</v>
      </c>
      <c r="C824">
        <f t="shared" si="48"/>
        <v>1.1229275381465786E-3</v>
      </c>
      <c r="D824" s="1" t="str">
        <f t="shared" ca="1" si="49"/>
        <v>=B824/B823-1</v>
      </c>
      <c r="E824" s="8">
        <f>VLOOKUP(A824,'[1]S&amp;P500_DAILY'!$A$8:$B$1768,2,0)</f>
        <v>4221.8599999999997</v>
      </c>
      <c r="F824" s="1">
        <f t="shared" si="50"/>
        <v>-4.3563700073401268E-4</v>
      </c>
      <c r="G824" s="1" t="str">
        <f t="shared" ca="1" si="51"/>
        <v>=E824/E823-1</v>
      </c>
    </row>
    <row r="825" spans="1:7">
      <c r="A825" s="14">
        <v>44365</v>
      </c>
      <c r="B825" s="11">
        <f>VLOOKUP(A825,[1]HD_price_daily!$A$8:$B$1768,2,0)</f>
        <v>302.61</v>
      </c>
      <c r="C825">
        <f t="shared" si="48"/>
        <v>-1.6825019794141083E-3</v>
      </c>
      <c r="D825" s="1" t="str">
        <f t="shared" ca="1" si="49"/>
        <v>=B825/B824-1</v>
      </c>
      <c r="E825" s="8">
        <f>VLOOKUP(A825,'[1]S&amp;P500_DAILY'!$A$8:$B$1768,2,0)</f>
        <v>4166.45</v>
      </c>
      <c r="F825" s="1">
        <f t="shared" si="50"/>
        <v>-1.3124547000611053E-2</v>
      </c>
      <c r="G825" s="1" t="str">
        <f t="shared" ca="1" si="51"/>
        <v>=E825/E824-1</v>
      </c>
    </row>
    <row r="826" spans="1:7">
      <c r="A826" s="14">
        <v>44368</v>
      </c>
      <c r="B826" s="11">
        <f>VLOOKUP(A826,[1]HD_price_daily!$A$8:$B$1768,2,0)</f>
        <v>307.60000000000002</v>
      </c>
      <c r="C826">
        <f t="shared" si="48"/>
        <v>1.6489871451703442E-2</v>
      </c>
      <c r="D826" s="1" t="str">
        <f t="shared" ca="1" si="49"/>
        <v>=B826/B825-1</v>
      </c>
      <c r="E826" s="8">
        <f>VLOOKUP(A826,'[1]S&amp;P500_DAILY'!$A$8:$B$1768,2,0)</f>
        <v>4224.79</v>
      </c>
      <c r="F826" s="1">
        <f t="shared" si="50"/>
        <v>1.4002328121062391E-2</v>
      </c>
      <c r="G826" s="1" t="str">
        <f t="shared" ca="1" si="51"/>
        <v>=E826/E825-1</v>
      </c>
    </row>
    <row r="827" spans="1:7">
      <c r="A827" s="14">
        <v>44369</v>
      </c>
      <c r="B827" s="11">
        <f>VLOOKUP(A827,[1]HD_price_daily!$A$8:$B$1768,2,0)</f>
        <v>312.70999999999998</v>
      </c>
      <c r="C827">
        <f t="shared" si="48"/>
        <v>1.6612483745123363E-2</v>
      </c>
      <c r="D827" s="1" t="str">
        <f t="shared" ca="1" si="49"/>
        <v>=B827/B826-1</v>
      </c>
      <c r="E827" s="8">
        <f>VLOOKUP(A827,'[1]S&amp;P500_DAILY'!$A$8:$B$1768,2,0)</f>
        <v>4246.4399999999996</v>
      </c>
      <c r="F827" s="1">
        <f t="shared" si="50"/>
        <v>5.124515064653945E-3</v>
      </c>
      <c r="G827" s="1" t="str">
        <f t="shared" ca="1" si="51"/>
        <v>=E827/E826-1</v>
      </c>
    </row>
    <row r="828" spans="1:7">
      <c r="A828" s="14">
        <v>44370</v>
      </c>
      <c r="B828" s="11">
        <f>VLOOKUP(A828,[1]HD_price_daily!$A$8:$B$1768,2,0)</f>
        <v>311.67</v>
      </c>
      <c r="C828">
        <f t="shared" si="48"/>
        <v>-3.3257650858621313E-3</v>
      </c>
      <c r="D828" s="1" t="str">
        <f t="shared" ca="1" si="49"/>
        <v>=B828/B827-1</v>
      </c>
      <c r="E828" s="8">
        <f>VLOOKUP(A828,'[1]S&amp;P500_DAILY'!$A$8:$B$1768,2,0)</f>
        <v>4241.84</v>
      </c>
      <c r="F828" s="1">
        <f t="shared" si="50"/>
        <v>-1.0832603310065858E-3</v>
      </c>
      <c r="G828" s="1" t="str">
        <f t="shared" ca="1" si="51"/>
        <v>=E828/E827-1</v>
      </c>
    </row>
    <row r="829" spans="1:7">
      <c r="A829" s="14">
        <v>44371</v>
      </c>
      <c r="B829" s="11">
        <f>VLOOKUP(A829,[1]HD_price_daily!$A$8:$B$1768,2,0)</f>
        <v>311.83999999999997</v>
      </c>
      <c r="C829">
        <f t="shared" si="48"/>
        <v>5.4544871177841792E-4</v>
      </c>
      <c r="D829" s="1" t="str">
        <f t="shared" ca="1" si="49"/>
        <v>=B829/B828-1</v>
      </c>
      <c r="E829" s="8">
        <f>VLOOKUP(A829,'[1]S&amp;P500_DAILY'!$A$8:$B$1768,2,0)</f>
        <v>4266.49</v>
      </c>
      <c r="F829" s="1">
        <f t="shared" si="50"/>
        <v>5.8111574222505791E-3</v>
      </c>
      <c r="G829" s="1" t="str">
        <f t="shared" ca="1" si="51"/>
        <v>=E829/E828-1</v>
      </c>
    </row>
    <row r="830" spans="1:7">
      <c r="A830" s="14">
        <v>44372</v>
      </c>
      <c r="B830" s="11">
        <f>VLOOKUP(A830,[1]HD_price_daily!$A$8:$B$1768,2,0)</f>
        <v>313.63</v>
      </c>
      <c r="C830">
        <f t="shared" si="48"/>
        <v>5.7401231400719954E-3</v>
      </c>
      <c r="D830" s="1" t="str">
        <f t="shared" ca="1" si="49"/>
        <v>=B830/B829-1</v>
      </c>
      <c r="E830" s="8">
        <f>VLOOKUP(A830,'[1]S&amp;P500_DAILY'!$A$8:$B$1768,2,0)</f>
        <v>4280.7</v>
      </c>
      <c r="F830" s="1">
        <f t="shared" si="50"/>
        <v>3.3306066579319449E-3</v>
      </c>
      <c r="G830" s="1" t="str">
        <f t="shared" ca="1" si="51"/>
        <v>=E830/E829-1</v>
      </c>
    </row>
    <row r="831" spans="1:7">
      <c r="A831" s="14">
        <v>44375</v>
      </c>
      <c r="B831" s="11">
        <f>VLOOKUP(A831,[1]HD_price_daily!$A$8:$B$1768,2,0)</f>
        <v>314.27999999999997</v>
      </c>
      <c r="C831">
        <f t="shared" si="48"/>
        <v>2.0725058189585699E-3</v>
      </c>
      <c r="D831" s="1" t="str">
        <f t="shared" ca="1" si="49"/>
        <v>=B831/B830-1</v>
      </c>
      <c r="E831" s="8">
        <f>VLOOKUP(A831,'[1]S&amp;P500_DAILY'!$A$8:$B$1768,2,0)</f>
        <v>4290.6099999999997</v>
      </c>
      <c r="F831" s="1">
        <f t="shared" si="50"/>
        <v>2.3150419323942906E-3</v>
      </c>
      <c r="G831" s="1" t="str">
        <f t="shared" ca="1" si="51"/>
        <v>=E831/E830-1</v>
      </c>
    </row>
    <row r="832" spans="1:7">
      <c r="A832" s="14">
        <v>44376</v>
      </c>
      <c r="B832" s="11">
        <f>VLOOKUP(A832,[1]HD_price_daily!$A$8:$B$1768,2,0)</f>
        <v>318.24</v>
      </c>
      <c r="C832">
        <f t="shared" si="48"/>
        <v>1.2600229095074633E-2</v>
      </c>
      <c r="D832" s="1" t="str">
        <f t="shared" ca="1" si="49"/>
        <v>=B832/B831-1</v>
      </c>
      <c r="E832" s="8">
        <f>VLOOKUP(A832,'[1]S&amp;P500_DAILY'!$A$8:$B$1768,2,0)</f>
        <v>4291.8</v>
      </c>
      <c r="F832" s="1">
        <f t="shared" si="50"/>
        <v>2.7734984069871516E-4</v>
      </c>
      <c r="G832" s="1" t="str">
        <f t="shared" ca="1" si="51"/>
        <v>=E832/E831-1</v>
      </c>
    </row>
    <row r="833" spans="1:7">
      <c r="A833" s="14">
        <v>44377</v>
      </c>
      <c r="B833" s="11">
        <f>VLOOKUP(A833,[1]HD_price_daily!$A$8:$B$1768,2,0)</f>
        <v>318.89</v>
      </c>
      <c r="C833">
        <f t="shared" si="48"/>
        <v>2.0424836601307117E-3</v>
      </c>
      <c r="D833" s="1" t="str">
        <f t="shared" ca="1" si="49"/>
        <v>=B833/B832-1</v>
      </c>
      <c r="E833" s="8">
        <f>VLOOKUP(A833,'[1]S&amp;P500_DAILY'!$A$8:$B$1768,2,0)</f>
        <v>4297.5</v>
      </c>
      <c r="F833" s="1">
        <f t="shared" si="50"/>
        <v>1.3281140780092571E-3</v>
      </c>
      <c r="G833" s="1" t="str">
        <f t="shared" ca="1" si="51"/>
        <v>=E833/E832-1</v>
      </c>
    </row>
    <row r="834" spans="1:7">
      <c r="A834" s="14">
        <v>44378</v>
      </c>
      <c r="B834" s="11">
        <f>VLOOKUP(A834,[1]HD_price_daily!$A$8:$B$1768,2,0)</f>
        <v>321.54000000000002</v>
      </c>
      <c r="C834">
        <f t="shared" si="48"/>
        <v>8.310075574649689E-3</v>
      </c>
      <c r="D834" s="1" t="str">
        <f t="shared" ca="1" si="49"/>
        <v>=B834/B833-1</v>
      </c>
      <c r="E834" s="8">
        <f>VLOOKUP(A834,'[1]S&amp;P500_DAILY'!$A$8:$B$1768,2,0)</f>
        <v>4319.9399999999996</v>
      </c>
      <c r="F834" s="1">
        <f t="shared" si="50"/>
        <v>5.2216404886560319E-3</v>
      </c>
      <c r="G834" s="1" t="str">
        <f t="shared" ca="1" si="51"/>
        <v>=E834/E833-1</v>
      </c>
    </row>
    <row r="835" spans="1:7">
      <c r="A835" s="14">
        <v>44379</v>
      </c>
      <c r="B835" s="11">
        <f>VLOOKUP(A835,[1]HD_price_daily!$A$8:$B$1768,2,0)</f>
        <v>322.7</v>
      </c>
      <c r="C835">
        <f t="shared" si="48"/>
        <v>3.6076382409653274E-3</v>
      </c>
      <c r="D835" s="1" t="str">
        <f t="shared" ca="1" si="49"/>
        <v>=B835/B834-1</v>
      </c>
      <c r="E835" s="8">
        <f>VLOOKUP(A835,'[1]S&amp;P500_DAILY'!$A$8:$B$1768,2,0)</f>
        <v>4352.34</v>
      </c>
      <c r="F835" s="1">
        <f t="shared" si="50"/>
        <v>7.5001041681135305E-3</v>
      </c>
      <c r="G835" s="1" t="str">
        <f t="shared" ca="1" si="51"/>
        <v>=E835/E834-1</v>
      </c>
    </row>
    <row r="836" spans="1:7">
      <c r="A836" s="14">
        <v>44383</v>
      </c>
      <c r="B836" s="11">
        <f>VLOOKUP(A836,[1]HD_price_daily!$A$8:$B$1768,2,0)</f>
        <v>319.26</v>
      </c>
      <c r="C836">
        <f t="shared" ref="C836:C899" si="52">B836/B835-1</f>
        <v>-1.0660055779361577E-2</v>
      </c>
      <c r="D836" s="1" t="str">
        <f t="shared" ref="D836:D899" ca="1" si="53">_xlfn.FORMULATEXT(C836)</f>
        <v>=B836/B835-1</v>
      </c>
      <c r="E836" s="8">
        <f>VLOOKUP(A836,'[1]S&amp;P500_DAILY'!$A$8:$B$1768,2,0)</f>
        <v>4343.54</v>
      </c>
      <c r="F836" s="1">
        <f t="shared" ref="F836:F899" si="54">E836/E835-1</f>
        <v>-2.0219008625245172E-3</v>
      </c>
      <c r="G836" s="1" t="str">
        <f t="shared" ref="G836:G899" ca="1" si="55">_xlfn.FORMULATEXT(F836)</f>
        <v>=E836/E835-1</v>
      </c>
    </row>
    <row r="837" spans="1:7">
      <c r="A837" s="14">
        <v>44384</v>
      </c>
      <c r="B837" s="11">
        <f>VLOOKUP(A837,[1]HD_price_daily!$A$8:$B$1768,2,0)</f>
        <v>323.48</v>
      </c>
      <c r="C837">
        <f t="shared" si="52"/>
        <v>1.3218066779427495E-2</v>
      </c>
      <c r="D837" s="1" t="str">
        <f t="shared" ca="1" si="53"/>
        <v>=B837/B836-1</v>
      </c>
      <c r="E837" s="8">
        <f>VLOOKUP(A837,'[1]S&amp;P500_DAILY'!$A$8:$B$1768,2,0)</f>
        <v>4358.13</v>
      </c>
      <c r="F837" s="1">
        <f t="shared" si="54"/>
        <v>3.359011313352811E-3</v>
      </c>
      <c r="G837" s="1" t="str">
        <f t="shared" ca="1" si="55"/>
        <v>=E837/E836-1</v>
      </c>
    </row>
    <row r="838" spans="1:7">
      <c r="A838" s="14">
        <v>44385</v>
      </c>
      <c r="B838" s="11">
        <f>VLOOKUP(A838,[1]HD_price_daily!$A$8:$B$1768,2,0)</f>
        <v>318.54000000000002</v>
      </c>
      <c r="C838">
        <f t="shared" si="52"/>
        <v>-1.5271423271917883E-2</v>
      </c>
      <c r="D838" s="1" t="str">
        <f t="shared" ca="1" si="53"/>
        <v>=B838/B837-1</v>
      </c>
      <c r="E838" s="8">
        <f>VLOOKUP(A838,'[1]S&amp;P500_DAILY'!$A$8:$B$1768,2,0)</f>
        <v>4320.82</v>
      </c>
      <c r="F838" s="1">
        <f t="shared" si="54"/>
        <v>-8.56101125941644E-3</v>
      </c>
      <c r="G838" s="1" t="str">
        <f t="shared" ca="1" si="55"/>
        <v>=E838/E837-1</v>
      </c>
    </row>
    <row r="839" spans="1:7">
      <c r="A839" s="14">
        <v>44386</v>
      </c>
      <c r="B839" s="11">
        <f>VLOOKUP(A839,[1]HD_price_daily!$A$8:$B$1768,2,0)</f>
        <v>322.08999999999997</v>
      </c>
      <c r="C839">
        <f t="shared" si="52"/>
        <v>1.1144597224838071E-2</v>
      </c>
      <c r="D839" s="1" t="str">
        <f t="shared" ca="1" si="53"/>
        <v>=B839/B838-1</v>
      </c>
      <c r="E839" s="8">
        <f>VLOOKUP(A839,'[1]S&amp;P500_DAILY'!$A$8:$B$1768,2,0)</f>
        <v>4369.55</v>
      </c>
      <c r="F839" s="1">
        <f t="shared" si="54"/>
        <v>1.1277951870247049E-2</v>
      </c>
      <c r="G839" s="1" t="str">
        <f t="shared" ca="1" si="55"/>
        <v>=E839/E838-1</v>
      </c>
    </row>
    <row r="840" spans="1:7">
      <c r="A840" s="14">
        <v>44389</v>
      </c>
      <c r="B840" s="11">
        <f>VLOOKUP(A840,[1]HD_price_daily!$A$8:$B$1768,2,0)</f>
        <v>321.74</v>
      </c>
      <c r="C840">
        <f t="shared" si="52"/>
        <v>-1.0866527989070729E-3</v>
      </c>
      <c r="D840" s="1" t="str">
        <f t="shared" ca="1" si="53"/>
        <v>=B840/B839-1</v>
      </c>
      <c r="E840" s="8">
        <f>VLOOKUP(A840,'[1]S&amp;P500_DAILY'!$A$8:$B$1768,2,0)</f>
        <v>4384.63</v>
      </c>
      <c r="F840" s="1">
        <f t="shared" si="54"/>
        <v>3.4511562975592103E-3</v>
      </c>
      <c r="G840" s="1" t="str">
        <f t="shared" ca="1" si="55"/>
        <v>=E840/E839-1</v>
      </c>
    </row>
    <row r="841" spans="1:7">
      <c r="A841" s="14">
        <v>44390</v>
      </c>
      <c r="B841" s="11">
        <f>VLOOKUP(A841,[1]HD_price_daily!$A$8:$B$1768,2,0)</f>
        <v>317.05</v>
      </c>
      <c r="C841">
        <f t="shared" si="52"/>
        <v>-1.4576987629763116E-2</v>
      </c>
      <c r="D841" s="1" t="str">
        <f t="shared" ca="1" si="53"/>
        <v>=B841/B840-1</v>
      </c>
      <c r="E841" s="8">
        <f>VLOOKUP(A841,'[1]S&amp;P500_DAILY'!$A$8:$B$1768,2,0)</f>
        <v>4369.21</v>
      </c>
      <c r="F841" s="1">
        <f t="shared" si="54"/>
        <v>-3.516830382495284E-3</v>
      </c>
      <c r="G841" s="1" t="str">
        <f t="shared" ca="1" si="55"/>
        <v>=E841/E840-1</v>
      </c>
    </row>
    <row r="842" spans="1:7">
      <c r="A842" s="14">
        <v>44391</v>
      </c>
      <c r="B842" s="11">
        <f>VLOOKUP(A842,[1]HD_price_daily!$A$8:$B$1768,2,0)</f>
        <v>319.22000000000003</v>
      </c>
      <c r="C842">
        <f t="shared" si="52"/>
        <v>6.8443463176155461E-3</v>
      </c>
      <c r="D842" s="1" t="str">
        <f t="shared" ca="1" si="53"/>
        <v>=B842/B841-1</v>
      </c>
      <c r="E842" s="8">
        <f>VLOOKUP(A842,'[1]S&amp;P500_DAILY'!$A$8:$B$1768,2,0)</f>
        <v>4374.3</v>
      </c>
      <c r="F842" s="1">
        <f t="shared" si="54"/>
        <v>1.1649703264435818E-3</v>
      </c>
      <c r="G842" s="1" t="str">
        <f t="shared" ca="1" si="55"/>
        <v>=E842/E841-1</v>
      </c>
    </row>
    <row r="843" spans="1:7">
      <c r="A843" s="14">
        <v>44392</v>
      </c>
      <c r="B843" s="11">
        <f>VLOOKUP(A843,[1]HD_price_daily!$A$8:$B$1768,2,0)</f>
        <v>322.70999999999998</v>
      </c>
      <c r="C843">
        <f t="shared" si="52"/>
        <v>1.0932898941169E-2</v>
      </c>
      <c r="D843" s="1" t="str">
        <f t="shared" ca="1" si="53"/>
        <v>=B843/B842-1</v>
      </c>
      <c r="E843" s="8">
        <f>VLOOKUP(A843,'[1]S&amp;P500_DAILY'!$A$8:$B$1768,2,0)</f>
        <v>4360.03</v>
      </c>
      <c r="F843" s="1">
        <f t="shared" si="54"/>
        <v>-3.2622362435132946E-3</v>
      </c>
      <c r="G843" s="1" t="str">
        <f t="shared" ca="1" si="55"/>
        <v>=E843/E842-1</v>
      </c>
    </row>
    <row r="844" spans="1:7">
      <c r="A844" s="14">
        <v>44393</v>
      </c>
      <c r="B844" s="11">
        <f>VLOOKUP(A844,[1]HD_price_daily!$A$8:$B$1768,2,0)</f>
        <v>321.54000000000002</v>
      </c>
      <c r="C844">
        <f t="shared" si="52"/>
        <v>-3.6255461559913105E-3</v>
      </c>
      <c r="D844" s="1" t="str">
        <f t="shared" ca="1" si="53"/>
        <v>=B844/B843-1</v>
      </c>
      <c r="E844" s="8">
        <f>VLOOKUP(A844,'[1]S&amp;P500_DAILY'!$A$8:$B$1768,2,0)</f>
        <v>4327.16</v>
      </c>
      <c r="F844" s="1">
        <f t="shared" si="54"/>
        <v>-7.5389389522548811E-3</v>
      </c>
      <c r="G844" s="1" t="str">
        <f t="shared" ca="1" si="55"/>
        <v>=E844/E843-1</v>
      </c>
    </row>
    <row r="845" spans="1:7">
      <c r="A845" s="14">
        <v>44396</v>
      </c>
      <c r="B845" s="11">
        <f>VLOOKUP(A845,[1]HD_price_daily!$A$8:$B$1768,2,0)</f>
        <v>318.87</v>
      </c>
      <c r="C845">
        <f t="shared" si="52"/>
        <v>-8.30378802015308E-3</v>
      </c>
      <c r="D845" s="1" t="str">
        <f t="shared" ca="1" si="53"/>
        <v>=B845/B844-1</v>
      </c>
      <c r="E845" s="8">
        <f>VLOOKUP(A845,'[1]S&amp;P500_DAILY'!$A$8:$B$1768,2,0)</f>
        <v>4258.49</v>
      </c>
      <c r="F845" s="1">
        <f t="shared" si="54"/>
        <v>-1.5869531055010655E-2</v>
      </c>
      <c r="G845" s="1" t="str">
        <f t="shared" ca="1" si="55"/>
        <v>=E845/E844-1</v>
      </c>
    </row>
    <row r="846" spans="1:7">
      <c r="A846" s="14">
        <v>44397</v>
      </c>
      <c r="B846" s="11">
        <f>VLOOKUP(A846,[1]HD_price_daily!$A$8:$B$1768,2,0)</f>
        <v>325.35000000000002</v>
      </c>
      <c r="C846">
        <f t="shared" si="52"/>
        <v>2.0321761219305623E-2</v>
      </c>
      <c r="D846" s="1" t="str">
        <f t="shared" ca="1" si="53"/>
        <v>=B846/B845-1</v>
      </c>
      <c r="E846" s="8">
        <f>VLOOKUP(A846,'[1]S&amp;P500_DAILY'!$A$8:$B$1768,2,0)</f>
        <v>4323.0600000000004</v>
      </c>
      <c r="F846" s="1">
        <f t="shared" si="54"/>
        <v>1.516265155019747E-2</v>
      </c>
      <c r="G846" s="1" t="str">
        <f t="shared" ca="1" si="55"/>
        <v>=E846/E845-1</v>
      </c>
    </row>
    <row r="847" spans="1:7">
      <c r="A847" s="14">
        <v>44398</v>
      </c>
      <c r="B847" s="11">
        <f>VLOOKUP(A847,[1]HD_price_daily!$A$8:$B$1768,2,0)</f>
        <v>326.36</v>
      </c>
      <c r="C847">
        <f t="shared" si="52"/>
        <v>3.1043491624405117E-3</v>
      </c>
      <c r="D847" s="1" t="str">
        <f t="shared" ca="1" si="53"/>
        <v>=B847/B846-1</v>
      </c>
      <c r="E847" s="8">
        <f>VLOOKUP(A847,'[1]S&amp;P500_DAILY'!$A$8:$B$1768,2,0)</f>
        <v>4358.6899999999996</v>
      </c>
      <c r="F847" s="1">
        <f t="shared" si="54"/>
        <v>8.2418472100778128E-3</v>
      </c>
      <c r="G847" s="1" t="str">
        <f t="shared" ca="1" si="55"/>
        <v>=E847/E846-1</v>
      </c>
    </row>
    <row r="848" spans="1:7">
      <c r="A848" s="14">
        <v>44399</v>
      </c>
      <c r="B848" s="11">
        <f>VLOOKUP(A848,[1]HD_price_daily!$A$8:$B$1768,2,0)</f>
        <v>326.66000000000003</v>
      </c>
      <c r="C848">
        <f t="shared" si="52"/>
        <v>9.1923029783069765E-4</v>
      </c>
      <c r="D848" s="1" t="str">
        <f t="shared" ca="1" si="53"/>
        <v>=B848/B847-1</v>
      </c>
      <c r="E848" s="8">
        <f>VLOOKUP(A848,'[1]S&amp;P500_DAILY'!$A$8:$B$1768,2,0)</f>
        <v>4367.4799999999996</v>
      </c>
      <c r="F848" s="1">
        <f t="shared" si="54"/>
        <v>2.0166609692362503E-3</v>
      </c>
      <c r="G848" s="1" t="str">
        <f t="shared" ca="1" si="55"/>
        <v>=E848/E847-1</v>
      </c>
    </row>
    <row r="849" spans="1:7">
      <c r="A849" s="14">
        <v>44400</v>
      </c>
      <c r="B849" s="11">
        <f>VLOOKUP(A849,[1]HD_price_daily!$A$8:$B$1768,2,0)</f>
        <v>332.84</v>
      </c>
      <c r="C849">
        <f t="shared" si="52"/>
        <v>1.8918753443947667E-2</v>
      </c>
      <c r="D849" s="1" t="str">
        <f t="shared" ca="1" si="53"/>
        <v>=B849/B848-1</v>
      </c>
      <c r="E849" s="8">
        <f>VLOOKUP(A849,'[1]S&amp;P500_DAILY'!$A$8:$B$1768,2,0)</f>
        <v>4411.79</v>
      </c>
      <c r="F849" s="1">
        <f t="shared" si="54"/>
        <v>1.0145438559535647E-2</v>
      </c>
      <c r="G849" s="1" t="str">
        <f t="shared" ca="1" si="55"/>
        <v>=E849/E848-1</v>
      </c>
    </row>
    <row r="850" spans="1:7">
      <c r="A850" s="14">
        <v>44403</v>
      </c>
      <c r="B850" s="11">
        <f>VLOOKUP(A850,[1]HD_price_daily!$A$8:$B$1768,2,0)</f>
        <v>331.18</v>
      </c>
      <c r="C850">
        <f t="shared" si="52"/>
        <v>-4.9873813243599407E-3</v>
      </c>
      <c r="D850" s="1" t="str">
        <f t="shared" ca="1" si="53"/>
        <v>=B850/B849-1</v>
      </c>
      <c r="E850" s="8">
        <f>VLOOKUP(A850,'[1]S&amp;P500_DAILY'!$A$8:$B$1768,2,0)</f>
        <v>4422.3</v>
      </c>
      <c r="F850" s="1">
        <f t="shared" si="54"/>
        <v>2.382253008416102E-3</v>
      </c>
      <c r="G850" s="1" t="str">
        <f t="shared" ca="1" si="55"/>
        <v>=E850/E849-1</v>
      </c>
    </row>
    <row r="851" spans="1:7">
      <c r="A851" s="14">
        <v>44404</v>
      </c>
      <c r="B851" s="11">
        <f>VLOOKUP(A851,[1]HD_price_daily!$A$8:$B$1768,2,0)</f>
        <v>327.26</v>
      </c>
      <c r="C851">
        <f t="shared" si="52"/>
        <v>-1.1836463554562471E-2</v>
      </c>
      <c r="D851" s="1" t="str">
        <f t="shared" ca="1" si="53"/>
        <v>=B851/B850-1</v>
      </c>
      <c r="E851" s="8">
        <f>VLOOKUP(A851,'[1]S&amp;P500_DAILY'!$A$8:$B$1768,2,0)</f>
        <v>4401.46</v>
      </c>
      <c r="F851" s="1">
        <f t="shared" si="54"/>
        <v>-4.7124799312575627E-3</v>
      </c>
      <c r="G851" s="1" t="str">
        <f t="shared" ca="1" si="55"/>
        <v>=E851/E850-1</v>
      </c>
    </row>
    <row r="852" spans="1:7">
      <c r="A852" s="14">
        <v>44405</v>
      </c>
      <c r="B852" s="11">
        <f>VLOOKUP(A852,[1]HD_price_daily!$A$8:$B$1768,2,0)</f>
        <v>325.52</v>
      </c>
      <c r="C852">
        <f t="shared" si="52"/>
        <v>-5.3168734339669177E-3</v>
      </c>
      <c r="D852" s="1" t="str">
        <f t="shared" ca="1" si="53"/>
        <v>=B852/B851-1</v>
      </c>
      <c r="E852" s="8">
        <f>VLOOKUP(A852,'[1]S&amp;P500_DAILY'!$A$8:$B$1768,2,0)</f>
        <v>4400.6400000000003</v>
      </c>
      <c r="F852" s="1">
        <f t="shared" si="54"/>
        <v>-1.8630181803303003E-4</v>
      </c>
      <c r="G852" s="1" t="str">
        <f t="shared" ca="1" si="55"/>
        <v>=E852/E851-1</v>
      </c>
    </row>
    <row r="853" spans="1:7">
      <c r="A853" s="14">
        <v>44406</v>
      </c>
      <c r="B853" s="11">
        <f>VLOOKUP(A853,[1]HD_price_daily!$A$8:$B$1768,2,0)</f>
        <v>327.43</v>
      </c>
      <c r="C853">
        <f t="shared" si="52"/>
        <v>5.8675350208896582E-3</v>
      </c>
      <c r="D853" s="1" t="str">
        <f t="shared" ca="1" si="53"/>
        <v>=B853/B852-1</v>
      </c>
      <c r="E853" s="8">
        <f>VLOOKUP(A853,'[1]S&amp;P500_DAILY'!$A$8:$B$1768,2,0)</f>
        <v>4419.1499999999996</v>
      </c>
      <c r="F853" s="1">
        <f t="shared" si="54"/>
        <v>4.2062063699823682E-3</v>
      </c>
      <c r="G853" s="1" t="str">
        <f t="shared" ca="1" si="55"/>
        <v>=E853/E852-1</v>
      </c>
    </row>
    <row r="854" spans="1:7">
      <c r="A854" s="14">
        <v>44407</v>
      </c>
      <c r="B854" s="11">
        <f>VLOOKUP(A854,[1]HD_price_daily!$A$8:$B$1768,2,0)</f>
        <v>328.19</v>
      </c>
      <c r="C854">
        <f t="shared" si="52"/>
        <v>2.3211068014536984E-3</v>
      </c>
      <c r="D854" s="1" t="str">
        <f t="shared" ca="1" si="53"/>
        <v>=B854/B853-1</v>
      </c>
      <c r="E854" s="8">
        <f>VLOOKUP(A854,'[1]S&amp;P500_DAILY'!$A$8:$B$1768,2,0)</f>
        <v>4395.26</v>
      </c>
      <c r="F854" s="1">
        <f t="shared" si="54"/>
        <v>-5.4060169942181657E-3</v>
      </c>
      <c r="G854" s="1" t="str">
        <f t="shared" ca="1" si="55"/>
        <v>=E854/E853-1</v>
      </c>
    </row>
    <row r="855" spans="1:7">
      <c r="A855" s="14">
        <v>44410</v>
      </c>
      <c r="B855" s="11">
        <f>VLOOKUP(A855,[1]HD_price_daily!$A$8:$B$1768,2,0)</f>
        <v>327.22000000000003</v>
      </c>
      <c r="C855">
        <f t="shared" si="52"/>
        <v>-2.9556049849172039E-3</v>
      </c>
      <c r="D855" s="1" t="str">
        <f t="shared" ca="1" si="53"/>
        <v>=B855/B854-1</v>
      </c>
      <c r="E855" s="8">
        <f>VLOOKUP(A855,'[1]S&amp;P500_DAILY'!$A$8:$B$1768,2,0)</f>
        <v>4387.16</v>
      </c>
      <c r="F855" s="1">
        <f t="shared" si="54"/>
        <v>-1.8428943907755624E-3</v>
      </c>
      <c r="G855" s="1" t="str">
        <f t="shared" ca="1" si="55"/>
        <v>=E855/E854-1</v>
      </c>
    </row>
    <row r="856" spans="1:7">
      <c r="A856" s="14">
        <v>44411</v>
      </c>
      <c r="B856" s="11">
        <f>VLOOKUP(A856,[1]HD_price_daily!$A$8:$B$1768,2,0)</f>
        <v>331.94</v>
      </c>
      <c r="C856">
        <f t="shared" si="52"/>
        <v>1.4424546176883934E-2</v>
      </c>
      <c r="D856" s="1" t="str">
        <f t="shared" ca="1" si="53"/>
        <v>=B856/B855-1</v>
      </c>
      <c r="E856" s="8">
        <f>VLOOKUP(A856,'[1]S&amp;P500_DAILY'!$A$8:$B$1768,2,0)</f>
        <v>4423.1499999999996</v>
      </c>
      <c r="F856" s="1">
        <f t="shared" si="54"/>
        <v>8.2034847144849543E-3</v>
      </c>
      <c r="G856" s="1" t="str">
        <f t="shared" ca="1" si="55"/>
        <v>=E856/E855-1</v>
      </c>
    </row>
    <row r="857" spans="1:7">
      <c r="A857" s="14">
        <v>44412</v>
      </c>
      <c r="B857" s="11">
        <f>VLOOKUP(A857,[1]HD_price_daily!$A$8:$B$1768,2,0)</f>
        <v>330.31</v>
      </c>
      <c r="C857">
        <f t="shared" si="52"/>
        <v>-4.9105259986744754E-3</v>
      </c>
      <c r="D857" s="1" t="str">
        <f t="shared" ca="1" si="53"/>
        <v>=B857/B856-1</v>
      </c>
      <c r="E857" s="8">
        <f>VLOOKUP(A857,'[1]S&amp;P500_DAILY'!$A$8:$B$1768,2,0)</f>
        <v>4402.66</v>
      </c>
      <c r="F857" s="1">
        <f t="shared" si="54"/>
        <v>-4.6324452030791496E-3</v>
      </c>
      <c r="G857" s="1" t="str">
        <f t="shared" ca="1" si="55"/>
        <v>=E857/E856-1</v>
      </c>
    </row>
    <row r="858" spans="1:7">
      <c r="A858" s="14">
        <v>44413</v>
      </c>
      <c r="B858" s="11">
        <f>VLOOKUP(A858,[1]HD_price_daily!$A$8:$B$1768,2,0)</f>
        <v>333.11</v>
      </c>
      <c r="C858">
        <f t="shared" si="52"/>
        <v>8.4768853501255848E-3</v>
      </c>
      <c r="D858" s="1" t="str">
        <f t="shared" ca="1" si="53"/>
        <v>=B858/B857-1</v>
      </c>
      <c r="E858" s="8">
        <f>VLOOKUP(A858,'[1]S&amp;P500_DAILY'!$A$8:$B$1768,2,0)</f>
        <v>4429.1000000000004</v>
      </c>
      <c r="F858" s="1">
        <f t="shared" si="54"/>
        <v>6.0054603353427716E-3</v>
      </c>
      <c r="G858" s="1" t="str">
        <f t="shared" ca="1" si="55"/>
        <v>=E858/E857-1</v>
      </c>
    </row>
    <row r="859" spans="1:7">
      <c r="A859" s="14">
        <v>44414</v>
      </c>
      <c r="B859" s="11">
        <f>VLOOKUP(A859,[1]HD_price_daily!$A$8:$B$1768,2,0)</f>
        <v>329.84</v>
      </c>
      <c r="C859">
        <f t="shared" si="52"/>
        <v>-9.816577106661617E-3</v>
      </c>
      <c r="D859" s="1" t="str">
        <f t="shared" ca="1" si="53"/>
        <v>=B859/B858-1</v>
      </c>
      <c r="E859" s="8">
        <f>VLOOKUP(A859,'[1]S&amp;P500_DAILY'!$A$8:$B$1768,2,0)</f>
        <v>4436.5200000000004</v>
      </c>
      <c r="F859" s="1">
        <f t="shared" si="54"/>
        <v>1.6752839177258672E-3</v>
      </c>
      <c r="G859" s="1" t="str">
        <f t="shared" ca="1" si="55"/>
        <v>=E859/E858-1</v>
      </c>
    </row>
    <row r="860" spans="1:7">
      <c r="A860" s="14">
        <v>44417</v>
      </c>
      <c r="B860" s="11">
        <f>VLOOKUP(A860,[1]HD_price_daily!$A$8:$B$1768,2,0)</f>
        <v>328.76</v>
      </c>
      <c r="C860">
        <f t="shared" si="52"/>
        <v>-3.2743148193062899E-3</v>
      </c>
      <c r="D860" s="1" t="str">
        <f t="shared" ca="1" si="53"/>
        <v>=B860/B859-1</v>
      </c>
      <c r="E860" s="8">
        <f>VLOOKUP(A860,'[1]S&amp;P500_DAILY'!$A$8:$B$1768,2,0)</f>
        <v>4432.3500000000004</v>
      </c>
      <c r="F860" s="1">
        <f t="shared" si="54"/>
        <v>-9.3992588785807296E-4</v>
      </c>
      <c r="G860" s="1" t="str">
        <f t="shared" ca="1" si="55"/>
        <v>=E860/E859-1</v>
      </c>
    </row>
    <row r="861" spans="1:7">
      <c r="A861" s="14">
        <v>44418</v>
      </c>
      <c r="B861" s="11">
        <f>VLOOKUP(A861,[1]HD_price_daily!$A$8:$B$1768,2,0)</f>
        <v>331.48</v>
      </c>
      <c r="C861">
        <f t="shared" si="52"/>
        <v>8.2735125927728692E-3</v>
      </c>
      <c r="D861" s="1" t="str">
        <f t="shared" ca="1" si="53"/>
        <v>=B861/B860-1</v>
      </c>
      <c r="E861" s="8">
        <f>VLOOKUP(A861,'[1]S&amp;P500_DAILY'!$A$8:$B$1768,2,0)</f>
        <v>4436.75</v>
      </c>
      <c r="F861" s="1">
        <f t="shared" si="54"/>
        <v>9.9270138865370505E-4</v>
      </c>
      <c r="G861" s="1" t="str">
        <f t="shared" ca="1" si="55"/>
        <v>=E861/E860-1</v>
      </c>
    </row>
    <row r="862" spans="1:7">
      <c r="A862" s="14">
        <v>44419</v>
      </c>
      <c r="B862" s="11">
        <f>VLOOKUP(A862,[1]HD_price_daily!$A$8:$B$1768,2,0)</f>
        <v>337</v>
      </c>
      <c r="C862">
        <f t="shared" si="52"/>
        <v>1.6652588391456336E-2</v>
      </c>
      <c r="D862" s="1" t="str">
        <f t="shared" ca="1" si="53"/>
        <v>=B862/B861-1</v>
      </c>
      <c r="E862" s="8">
        <f>VLOOKUP(A862,'[1]S&amp;P500_DAILY'!$A$8:$B$1768,2,0)</f>
        <v>4447.7</v>
      </c>
      <c r="F862" s="1">
        <f t="shared" si="54"/>
        <v>2.4680227644109376E-3</v>
      </c>
      <c r="G862" s="1" t="str">
        <f t="shared" ca="1" si="55"/>
        <v>=E862/E861-1</v>
      </c>
    </row>
    <row r="863" spans="1:7">
      <c r="A863" s="14">
        <v>44420</v>
      </c>
      <c r="B863" s="11">
        <f>VLOOKUP(A863,[1]HD_price_daily!$A$8:$B$1768,2,0)</f>
        <v>334.02</v>
      </c>
      <c r="C863">
        <f t="shared" si="52"/>
        <v>-8.8427299703264239E-3</v>
      </c>
      <c r="D863" s="1" t="str">
        <f t="shared" ca="1" si="53"/>
        <v>=B863/B862-1</v>
      </c>
      <c r="E863" s="8">
        <f>VLOOKUP(A863,'[1]S&amp;P500_DAILY'!$A$8:$B$1768,2,0)</f>
        <v>4460.83</v>
      </c>
      <c r="F863" s="1">
        <f t="shared" si="54"/>
        <v>2.9520875958359838E-3</v>
      </c>
      <c r="G863" s="1" t="str">
        <f t="shared" ca="1" si="55"/>
        <v>=E863/E862-1</v>
      </c>
    </row>
    <row r="864" spans="1:7">
      <c r="A864" s="14">
        <v>44421</v>
      </c>
      <c r="B864" s="11">
        <f>VLOOKUP(A864,[1]HD_price_daily!$A$8:$B$1768,2,0)</f>
        <v>331.32</v>
      </c>
      <c r="C864">
        <f t="shared" si="52"/>
        <v>-8.0833483024967956E-3</v>
      </c>
      <c r="D864" s="1" t="str">
        <f t="shared" ca="1" si="53"/>
        <v>=B864/B863-1</v>
      </c>
      <c r="E864" s="8">
        <f>VLOOKUP(A864,'[1]S&amp;P500_DAILY'!$A$8:$B$1768,2,0)</f>
        <v>4468</v>
      </c>
      <c r="F864" s="1">
        <f t="shared" si="54"/>
        <v>1.6073241975147479E-3</v>
      </c>
      <c r="G864" s="1" t="str">
        <f t="shared" ca="1" si="55"/>
        <v>=E864/E863-1</v>
      </c>
    </row>
    <row r="865" spans="1:7">
      <c r="A865" s="14">
        <v>44424</v>
      </c>
      <c r="B865" s="11">
        <f>VLOOKUP(A865,[1]HD_price_daily!$A$8:$B$1768,2,0)</f>
        <v>335.05</v>
      </c>
      <c r="C865">
        <f t="shared" si="52"/>
        <v>1.1257998309791128E-2</v>
      </c>
      <c r="D865" s="1" t="str">
        <f t="shared" ca="1" si="53"/>
        <v>=B865/B864-1</v>
      </c>
      <c r="E865" s="8">
        <f>VLOOKUP(A865,'[1]S&amp;P500_DAILY'!$A$8:$B$1768,2,0)</f>
        <v>4479.71</v>
      </c>
      <c r="F865" s="1">
        <f t="shared" si="54"/>
        <v>2.6208594449417255E-3</v>
      </c>
      <c r="G865" s="1" t="str">
        <f t="shared" ca="1" si="55"/>
        <v>=E865/E864-1</v>
      </c>
    </row>
    <row r="866" spans="1:7">
      <c r="A866" s="14">
        <v>44425</v>
      </c>
      <c r="B866" s="11">
        <f>VLOOKUP(A866,[1]HD_price_daily!$A$8:$B$1768,2,0)</f>
        <v>320.75</v>
      </c>
      <c r="C866">
        <f t="shared" si="52"/>
        <v>-4.268019698552461E-2</v>
      </c>
      <c r="D866" s="1" t="str">
        <f t="shared" ca="1" si="53"/>
        <v>=B866/B865-1</v>
      </c>
      <c r="E866" s="8">
        <f>VLOOKUP(A866,'[1]S&amp;P500_DAILY'!$A$8:$B$1768,2,0)</f>
        <v>4448.08</v>
      </c>
      <c r="F866" s="1">
        <f t="shared" si="54"/>
        <v>-7.0607249129965854E-3</v>
      </c>
      <c r="G866" s="1" t="str">
        <f t="shared" ca="1" si="55"/>
        <v>=E866/E865-1</v>
      </c>
    </row>
    <row r="867" spans="1:7">
      <c r="A867" s="14">
        <v>44426</v>
      </c>
      <c r="B867" s="11">
        <f>VLOOKUP(A867,[1]HD_price_daily!$A$8:$B$1768,2,0)</f>
        <v>321.55</v>
      </c>
      <c r="C867">
        <f t="shared" si="52"/>
        <v>2.4941543257990251E-3</v>
      </c>
      <c r="D867" s="1" t="str">
        <f t="shared" ca="1" si="53"/>
        <v>=B867/B866-1</v>
      </c>
      <c r="E867" s="8">
        <f>VLOOKUP(A867,'[1]S&amp;P500_DAILY'!$A$8:$B$1768,2,0)</f>
        <v>4400.2700000000004</v>
      </c>
      <c r="F867" s="1">
        <f t="shared" si="54"/>
        <v>-1.0748457761550978E-2</v>
      </c>
      <c r="G867" s="1" t="str">
        <f t="shared" ca="1" si="55"/>
        <v>=E867/E866-1</v>
      </c>
    </row>
    <row r="868" spans="1:7">
      <c r="A868" s="14">
        <v>44427</v>
      </c>
      <c r="B868" s="11">
        <f>VLOOKUP(A868,[1]HD_price_daily!$A$8:$B$1768,2,0)</f>
        <v>322.89999999999998</v>
      </c>
      <c r="C868">
        <f t="shared" si="52"/>
        <v>4.1984139325141889E-3</v>
      </c>
      <c r="D868" s="1" t="str">
        <f t="shared" ca="1" si="53"/>
        <v>=B868/B867-1</v>
      </c>
      <c r="E868" s="8">
        <f>VLOOKUP(A868,'[1]S&amp;P500_DAILY'!$A$8:$B$1768,2,0)</f>
        <v>4405.8</v>
      </c>
      <c r="F868" s="1">
        <f t="shared" si="54"/>
        <v>1.2567410636163956E-3</v>
      </c>
      <c r="G868" s="1" t="str">
        <f t="shared" ca="1" si="55"/>
        <v>=E868/E867-1</v>
      </c>
    </row>
    <row r="869" spans="1:7">
      <c r="A869" s="14">
        <v>44428</v>
      </c>
      <c r="B869" s="11">
        <f>VLOOKUP(A869,[1]HD_price_daily!$A$8:$B$1768,2,0)</f>
        <v>329.24</v>
      </c>
      <c r="C869">
        <f t="shared" si="52"/>
        <v>1.9634561783834048E-2</v>
      </c>
      <c r="D869" s="1" t="str">
        <f t="shared" ca="1" si="53"/>
        <v>=B869/B868-1</v>
      </c>
      <c r="E869" s="8">
        <f>VLOOKUP(A869,'[1]S&amp;P500_DAILY'!$A$8:$B$1768,2,0)</f>
        <v>4441.67</v>
      </c>
      <c r="F869" s="1">
        <f t="shared" si="54"/>
        <v>8.1415406963547543E-3</v>
      </c>
      <c r="G869" s="1" t="str">
        <f t="shared" ca="1" si="55"/>
        <v>=E869/E868-1</v>
      </c>
    </row>
    <row r="870" spans="1:7">
      <c r="A870" s="14">
        <v>44431</v>
      </c>
      <c r="B870" s="11">
        <f>VLOOKUP(A870,[1]HD_price_daily!$A$8:$B$1768,2,0)</f>
        <v>327.74</v>
      </c>
      <c r="C870">
        <f t="shared" si="52"/>
        <v>-4.5559470295225557E-3</v>
      </c>
      <c r="D870" s="1" t="str">
        <f t="shared" ca="1" si="53"/>
        <v>=B870/B869-1</v>
      </c>
      <c r="E870" s="8">
        <f>VLOOKUP(A870,'[1]S&amp;P500_DAILY'!$A$8:$B$1768,2,0)</f>
        <v>4479.53</v>
      </c>
      <c r="F870" s="1">
        <f t="shared" si="54"/>
        <v>8.5238209952562816E-3</v>
      </c>
      <c r="G870" s="1" t="str">
        <f t="shared" ca="1" si="55"/>
        <v>=E870/E869-1</v>
      </c>
    </row>
    <row r="871" spans="1:7">
      <c r="A871" s="14">
        <v>44432</v>
      </c>
      <c r="B871" s="11">
        <f>VLOOKUP(A871,[1]HD_price_daily!$A$8:$B$1768,2,0)</f>
        <v>324.89999999999998</v>
      </c>
      <c r="C871">
        <f t="shared" si="52"/>
        <v>-8.6654055043633438E-3</v>
      </c>
      <c r="D871" s="1" t="str">
        <f t="shared" ca="1" si="53"/>
        <v>=B871/B870-1</v>
      </c>
      <c r="E871" s="8">
        <f>VLOOKUP(A871,'[1]S&amp;P500_DAILY'!$A$8:$B$1768,2,0)</f>
        <v>4486.2299999999996</v>
      </c>
      <c r="F871" s="1">
        <f t="shared" si="54"/>
        <v>1.4956926284677152E-3</v>
      </c>
      <c r="G871" s="1" t="str">
        <f t="shared" ca="1" si="55"/>
        <v>=E871/E870-1</v>
      </c>
    </row>
    <row r="872" spans="1:7">
      <c r="A872" s="14">
        <v>44433</v>
      </c>
      <c r="B872" s="11">
        <f>VLOOKUP(A872,[1]HD_price_daily!$A$8:$B$1768,2,0)</f>
        <v>323.88</v>
      </c>
      <c r="C872">
        <f t="shared" si="52"/>
        <v>-3.1394275161588103E-3</v>
      </c>
      <c r="D872" s="1" t="str">
        <f t="shared" ca="1" si="53"/>
        <v>=B872/B871-1</v>
      </c>
      <c r="E872" s="8">
        <f>VLOOKUP(A872,'[1]S&amp;P500_DAILY'!$A$8:$B$1768,2,0)</f>
        <v>4496.1899999999996</v>
      </c>
      <c r="F872" s="1">
        <f t="shared" si="54"/>
        <v>2.2201269217136943E-3</v>
      </c>
      <c r="G872" s="1" t="str">
        <f t="shared" ca="1" si="55"/>
        <v>=E872/E871-1</v>
      </c>
    </row>
    <row r="873" spans="1:7">
      <c r="A873" s="14">
        <v>44434</v>
      </c>
      <c r="B873" s="11">
        <f>VLOOKUP(A873,[1]HD_price_daily!$A$8:$B$1768,2,0)</f>
        <v>321.48</v>
      </c>
      <c r="C873">
        <f t="shared" si="52"/>
        <v>-7.4101519081140044E-3</v>
      </c>
      <c r="D873" s="1" t="str">
        <f t="shared" ca="1" si="53"/>
        <v>=B873/B872-1</v>
      </c>
      <c r="E873" s="8">
        <f>VLOOKUP(A873,'[1]S&amp;P500_DAILY'!$A$8:$B$1768,2,0)</f>
        <v>4470</v>
      </c>
      <c r="F873" s="1">
        <f t="shared" si="54"/>
        <v>-5.8249317755698637E-3</v>
      </c>
      <c r="G873" s="1" t="str">
        <f t="shared" ca="1" si="55"/>
        <v>=E873/E872-1</v>
      </c>
    </row>
    <row r="874" spans="1:7">
      <c r="A874" s="14">
        <v>44435</v>
      </c>
      <c r="B874" s="11">
        <f>VLOOKUP(A874,[1]HD_price_daily!$A$8:$B$1768,2,0)</f>
        <v>323.38</v>
      </c>
      <c r="C874">
        <f t="shared" si="52"/>
        <v>5.9101654846334117E-3</v>
      </c>
      <c r="D874" s="1" t="str">
        <f t="shared" ca="1" si="53"/>
        <v>=B874/B873-1</v>
      </c>
      <c r="E874" s="8">
        <f>VLOOKUP(A874,'[1]S&amp;P500_DAILY'!$A$8:$B$1768,2,0)</f>
        <v>4509.37</v>
      </c>
      <c r="F874" s="1">
        <f t="shared" si="54"/>
        <v>8.8076062639821373E-3</v>
      </c>
      <c r="G874" s="1" t="str">
        <f t="shared" ca="1" si="55"/>
        <v>=E874/E873-1</v>
      </c>
    </row>
    <row r="875" spans="1:7">
      <c r="A875" s="14">
        <v>44438</v>
      </c>
      <c r="B875" s="11">
        <f>VLOOKUP(A875,[1]HD_price_daily!$A$8:$B$1768,2,0)</f>
        <v>327.10000000000002</v>
      </c>
      <c r="C875">
        <f t="shared" si="52"/>
        <v>1.1503494341023046E-2</v>
      </c>
      <c r="D875" s="1" t="str">
        <f t="shared" ca="1" si="53"/>
        <v>=B875/B874-1</v>
      </c>
      <c r="E875" s="8">
        <f>VLOOKUP(A875,'[1]S&amp;P500_DAILY'!$A$8:$B$1768,2,0)</f>
        <v>4528.79</v>
      </c>
      <c r="F875" s="1">
        <f t="shared" si="54"/>
        <v>4.30658828173347E-3</v>
      </c>
      <c r="G875" s="1" t="str">
        <f t="shared" ca="1" si="55"/>
        <v>=E875/E874-1</v>
      </c>
    </row>
    <row r="876" spans="1:7">
      <c r="A876" s="14">
        <v>44439</v>
      </c>
      <c r="B876" s="11">
        <f>VLOOKUP(A876,[1]HD_price_daily!$A$8:$B$1768,2,0)</f>
        <v>326.18</v>
      </c>
      <c r="C876">
        <f t="shared" si="52"/>
        <v>-2.8125955365332356E-3</v>
      </c>
      <c r="D876" s="1" t="str">
        <f t="shared" ca="1" si="53"/>
        <v>=B876/B875-1</v>
      </c>
      <c r="E876" s="8">
        <f>VLOOKUP(A876,'[1]S&amp;P500_DAILY'!$A$8:$B$1768,2,0)</f>
        <v>4522.68</v>
      </c>
      <c r="F876" s="1">
        <f t="shared" si="54"/>
        <v>-1.349146239944865E-3</v>
      </c>
      <c r="G876" s="1" t="str">
        <f t="shared" ca="1" si="55"/>
        <v>=E876/E875-1</v>
      </c>
    </row>
    <row r="877" spans="1:7">
      <c r="A877" s="14">
        <v>44440</v>
      </c>
      <c r="B877" s="11">
        <f>VLOOKUP(A877,[1]HD_price_daily!$A$8:$B$1768,2,0)</f>
        <v>323.64</v>
      </c>
      <c r="C877">
        <f t="shared" si="52"/>
        <v>-7.7871114108775119E-3</v>
      </c>
      <c r="D877" s="1" t="str">
        <f t="shared" ca="1" si="53"/>
        <v>=B877/B876-1</v>
      </c>
      <c r="E877" s="8">
        <f>VLOOKUP(A877,'[1]S&amp;P500_DAILY'!$A$8:$B$1768,2,0)</f>
        <v>4524.09</v>
      </c>
      <c r="F877" s="1">
        <f t="shared" si="54"/>
        <v>3.117620525883158E-4</v>
      </c>
      <c r="G877" s="1" t="str">
        <f t="shared" ca="1" si="55"/>
        <v>=E877/E876-1</v>
      </c>
    </row>
    <row r="878" spans="1:7">
      <c r="A878" s="14">
        <v>44441</v>
      </c>
      <c r="B878" s="11">
        <f>VLOOKUP(A878,[1]HD_price_daily!$A$8:$B$1768,2,0)</f>
        <v>327.74</v>
      </c>
      <c r="C878">
        <f t="shared" si="52"/>
        <v>1.2668396984303554E-2</v>
      </c>
      <c r="D878" s="1" t="str">
        <f t="shared" ca="1" si="53"/>
        <v>=B878/B877-1</v>
      </c>
      <c r="E878" s="8">
        <f>VLOOKUP(A878,'[1]S&amp;P500_DAILY'!$A$8:$B$1768,2,0)</f>
        <v>4536.95</v>
      </c>
      <c r="F878" s="1">
        <f t="shared" si="54"/>
        <v>2.8425606033477546E-3</v>
      </c>
      <c r="G878" s="1" t="str">
        <f t="shared" ca="1" si="55"/>
        <v>=E878/E877-1</v>
      </c>
    </row>
    <row r="879" spans="1:7">
      <c r="A879" s="14">
        <v>44442</v>
      </c>
      <c r="B879" s="11">
        <f>VLOOKUP(A879,[1]HD_price_daily!$A$8:$B$1768,2,0)</f>
        <v>330.34</v>
      </c>
      <c r="C879">
        <f t="shared" si="52"/>
        <v>7.9331177152619503E-3</v>
      </c>
      <c r="D879" s="1" t="str">
        <f t="shared" ca="1" si="53"/>
        <v>=B879/B878-1</v>
      </c>
      <c r="E879" s="8">
        <f>VLOOKUP(A879,'[1]S&amp;P500_DAILY'!$A$8:$B$1768,2,0)</f>
        <v>4535.43</v>
      </c>
      <c r="F879" s="1">
        <f t="shared" si="54"/>
        <v>-3.3502683520858501E-4</v>
      </c>
      <c r="G879" s="1" t="str">
        <f t="shared" ca="1" si="55"/>
        <v>=E879/E878-1</v>
      </c>
    </row>
    <row r="880" spans="1:7">
      <c r="A880" s="14">
        <v>44446</v>
      </c>
      <c r="B880" s="11">
        <f>VLOOKUP(A880,[1]HD_price_daily!$A$8:$B$1768,2,0)</f>
        <v>328.95</v>
      </c>
      <c r="C880">
        <f t="shared" si="52"/>
        <v>-4.2077859175394527E-3</v>
      </c>
      <c r="D880" s="1" t="str">
        <f t="shared" ca="1" si="53"/>
        <v>=B880/B879-1</v>
      </c>
      <c r="E880" s="8">
        <f>VLOOKUP(A880,'[1]S&amp;P500_DAILY'!$A$8:$B$1768,2,0)</f>
        <v>4520.03</v>
      </c>
      <c r="F880" s="1">
        <f t="shared" si="54"/>
        <v>-3.3954884101398131E-3</v>
      </c>
      <c r="G880" s="1" t="str">
        <f t="shared" ca="1" si="55"/>
        <v>=E880/E879-1</v>
      </c>
    </row>
    <row r="881" spans="1:7">
      <c r="A881" s="14">
        <v>44447</v>
      </c>
      <c r="B881" s="11">
        <f>VLOOKUP(A881,[1]HD_price_daily!$A$8:$B$1768,2,0)</f>
        <v>331.58</v>
      </c>
      <c r="C881">
        <f t="shared" si="52"/>
        <v>7.9951360389116655E-3</v>
      </c>
      <c r="D881" s="1" t="str">
        <f t="shared" ca="1" si="53"/>
        <v>=B881/B880-1</v>
      </c>
      <c r="E881" s="8">
        <f>VLOOKUP(A881,'[1]S&amp;P500_DAILY'!$A$8:$B$1768,2,0)</f>
        <v>4514.07</v>
      </c>
      <c r="F881" s="1">
        <f t="shared" si="54"/>
        <v>-1.3185753191903293E-3</v>
      </c>
      <c r="G881" s="1" t="str">
        <f t="shared" ca="1" si="55"/>
        <v>=E881/E880-1</v>
      </c>
    </row>
    <row r="882" spans="1:7">
      <c r="A882" s="14">
        <v>44448</v>
      </c>
      <c r="B882" s="11">
        <f>VLOOKUP(A882,[1]HD_price_daily!$A$8:$B$1768,2,0)</f>
        <v>331.77</v>
      </c>
      <c r="C882">
        <f t="shared" si="52"/>
        <v>5.7301405392373717E-4</v>
      </c>
      <c r="D882" s="1" t="str">
        <f t="shared" ca="1" si="53"/>
        <v>=B882/B881-1</v>
      </c>
      <c r="E882" s="8">
        <f>VLOOKUP(A882,'[1]S&amp;P500_DAILY'!$A$8:$B$1768,2,0)</f>
        <v>4493.28</v>
      </c>
      <c r="F882" s="1">
        <f t="shared" si="54"/>
        <v>-4.6055998245485563E-3</v>
      </c>
      <c r="G882" s="1" t="str">
        <f t="shared" ca="1" si="55"/>
        <v>=E882/E881-1</v>
      </c>
    </row>
    <row r="883" spans="1:7">
      <c r="A883" s="14">
        <v>44449</v>
      </c>
      <c r="B883" s="11">
        <f>VLOOKUP(A883,[1]HD_price_daily!$A$8:$B$1768,2,0)</f>
        <v>331.95</v>
      </c>
      <c r="C883">
        <f t="shared" si="52"/>
        <v>5.4254453386382018E-4</v>
      </c>
      <c r="D883" s="1" t="str">
        <f t="shared" ca="1" si="53"/>
        <v>=B883/B882-1</v>
      </c>
      <c r="E883" s="8">
        <f>VLOOKUP(A883,'[1]S&amp;P500_DAILY'!$A$8:$B$1768,2,0)</f>
        <v>4458.58</v>
      </c>
      <c r="F883" s="1">
        <f t="shared" si="54"/>
        <v>-7.7226435922087555E-3</v>
      </c>
      <c r="G883" s="1" t="str">
        <f t="shared" ca="1" si="55"/>
        <v>=E883/E882-1</v>
      </c>
    </row>
    <row r="884" spans="1:7">
      <c r="A884" s="14">
        <v>44452</v>
      </c>
      <c r="B884" s="11">
        <f>VLOOKUP(A884,[1]HD_price_daily!$A$8:$B$1768,2,0)</f>
        <v>335.45</v>
      </c>
      <c r="C884">
        <f t="shared" si="52"/>
        <v>1.0543756589847852E-2</v>
      </c>
      <c r="D884" s="1" t="str">
        <f t="shared" ca="1" si="53"/>
        <v>=B884/B883-1</v>
      </c>
      <c r="E884" s="8">
        <f>VLOOKUP(A884,'[1]S&amp;P500_DAILY'!$A$8:$B$1768,2,0)</f>
        <v>4468.7299999999996</v>
      </c>
      <c r="F884" s="1">
        <f t="shared" si="54"/>
        <v>2.2765095613401787E-3</v>
      </c>
      <c r="G884" s="1" t="str">
        <f t="shared" ca="1" si="55"/>
        <v>=E884/E883-1</v>
      </c>
    </row>
    <row r="885" spans="1:7">
      <c r="A885" s="14">
        <v>44453</v>
      </c>
      <c r="B885" s="11">
        <f>VLOOKUP(A885,[1]HD_price_daily!$A$8:$B$1768,2,0)</f>
        <v>333.12</v>
      </c>
      <c r="C885">
        <f t="shared" si="52"/>
        <v>-6.9458935757936713E-3</v>
      </c>
      <c r="D885" s="1" t="str">
        <f t="shared" ca="1" si="53"/>
        <v>=B885/B884-1</v>
      </c>
      <c r="E885" s="8">
        <f>VLOOKUP(A885,'[1]S&amp;P500_DAILY'!$A$8:$B$1768,2,0)</f>
        <v>4443.05</v>
      </c>
      <c r="F885" s="1">
        <f t="shared" si="54"/>
        <v>-5.7465991456183696E-3</v>
      </c>
      <c r="G885" s="1" t="str">
        <f t="shared" ca="1" si="55"/>
        <v>=E885/E884-1</v>
      </c>
    </row>
    <row r="886" spans="1:7">
      <c r="A886" s="14">
        <v>44454</v>
      </c>
      <c r="B886" s="11">
        <f>VLOOKUP(A886,[1]HD_price_daily!$A$8:$B$1768,2,0)</f>
        <v>333.37</v>
      </c>
      <c r="C886">
        <f t="shared" si="52"/>
        <v>7.5048030739677252E-4</v>
      </c>
      <c r="D886" s="1" t="str">
        <f t="shared" ca="1" si="53"/>
        <v>=B886/B885-1</v>
      </c>
      <c r="E886" s="8">
        <f>VLOOKUP(A886,'[1]S&amp;P500_DAILY'!$A$8:$B$1768,2,0)</f>
        <v>4480.7</v>
      </c>
      <c r="F886" s="1">
        <f t="shared" si="54"/>
        <v>8.4739086888510062E-3</v>
      </c>
      <c r="G886" s="1" t="str">
        <f t="shared" ca="1" si="55"/>
        <v>=E886/E885-1</v>
      </c>
    </row>
    <row r="887" spans="1:7">
      <c r="A887" s="14">
        <v>44455</v>
      </c>
      <c r="B887" s="11">
        <f>VLOOKUP(A887,[1]HD_price_daily!$A$8:$B$1768,2,0)</f>
        <v>336.39</v>
      </c>
      <c r="C887">
        <f t="shared" si="52"/>
        <v>9.059003509613861E-3</v>
      </c>
      <c r="D887" s="1" t="str">
        <f t="shared" ca="1" si="53"/>
        <v>=B887/B886-1</v>
      </c>
      <c r="E887" s="8">
        <f>VLOOKUP(A887,'[1]S&amp;P500_DAILY'!$A$8:$B$1768,2,0)</f>
        <v>4473.75</v>
      </c>
      <c r="F887" s="1">
        <f t="shared" si="54"/>
        <v>-1.5510969268194286E-3</v>
      </c>
      <c r="G887" s="1" t="str">
        <f t="shared" ca="1" si="55"/>
        <v>=E887/E886-1</v>
      </c>
    </row>
    <row r="888" spans="1:7">
      <c r="A888" s="14">
        <v>44456</v>
      </c>
      <c r="B888" s="11">
        <f>VLOOKUP(A888,[1]HD_price_daily!$A$8:$B$1768,2,0)</f>
        <v>335.67</v>
      </c>
      <c r="C888">
        <f t="shared" si="52"/>
        <v>-2.1403727815927365E-3</v>
      </c>
      <c r="D888" s="1" t="str">
        <f t="shared" ca="1" si="53"/>
        <v>=B888/B887-1</v>
      </c>
      <c r="E888" s="8">
        <f>VLOOKUP(A888,'[1]S&amp;P500_DAILY'!$A$8:$B$1768,2,0)</f>
        <v>4432.99</v>
      </c>
      <c r="F888" s="1">
        <f t="shared" si="54"/>
        <v>-9.1109248393406173E-3</v>
      </c>
      <c r="G888" s="1" t="str">
        <f t="shared" ca="1" si="55"/>
        <v>=E888/E887-1</v>
      </c>
    </row>
    <row r="889" spans="1:7">
      <c r="A889" s="14">
        <v>44459</v>
      </c>
      <c r="B889" s="11">
        <f>VLOOKUP(A889,[1]HD_price_daily!$A$8:$B$1768,2,0)</f>
        <v>331.21</v>
      </c>
      <c r="C889">
        <f t="shared" si="52"/>
        <v>-1.328685911758587E-2</v>
      </c>
      <c r="D889" s="1" t="str">
        <f t="shared" ca="1" si="53"/>
        <v>=B889/B888-1</v>
      </c>
      <c r="E889" s="8">
        <f>VLOOKUP(A889,'[1]S&amp;P500_DAILY'!$A$8:$B$1768,2,0)</f>
        <v>4357.7299999999996</v>
      </c>
      <c r="F889" s="1">
        <f t="shared" si="54"/>
        <v>-1.6977254629493954E-2</v>
      </c>
      <c r="G889" s="1" t="str">
        <f t="shared" ca="1" si="55"/>
        <v>=E889/E888-1</v>
      </c>
    </row>
    <row r="890" spans="1:7">
      <c r="A890" s="14">
        <v>44460</v>
      </c>
      <c r="B890" s="11">
        <f>VLOOKUP(A890,[1]HD_price_daily!$A$8:$B$1768,2,0)</f>
        <v>334.22</v>
      </c>
      <c r="C890">
        <f t="shared" si="52"/>
        <v>9.087889858398146E-3</v>
      </c>
      <c r="D890" s="1" t="str">
        <f t="shared" ca="1" si="53"/>
        <v>=B890/B889-1</v>
      </c>
      <c r="E890" s="8">
        <f>VLOOKUP(A890,'[1]S&amp;P500_DAILY'!$A$8:$B$1768,2,0)</f>
        <v>4354.1899999999996</v>
      </c>
      <c r="F890" s="1">
        <f t="shared" si="54"/>
        <v>-8.1234954896236555E-4</v>
      </c>
      <c r="G890" s="1" t="str">
        <f t="shared" ca="1" si="55"/>
        <v>=E890/E889-1</v>
      </c>
    </row>
    <row r="891" spans="1:7">
      <c r="A891" s="14">
        <v>44461</v>
      </c>
      <c r="B891" s="11">
        <f>VLOOKUP(A891,[1]HD_price_daily!$A$8:$B$1768,2,0)</f>
        <v>335.93</v>
      </c>
      <c r="C891">
        <f t="shared" si="52"/>
        <v>5.1163904015318895E-3</v>
      </c>
      <c r="D891" s="1" t="str">
        <f t="shared" ca="1" si="53"/>
        <v>=B891/B890-1</v>
      </c>
      <c r="E891" s="8">
        <f>VLOOKUP(A891,'[1]S&amp;P500_DAILY'!$A$8:$B$1768,2,0)</f>
        <v>4395.6400000000003</v>
      </c>
      <c r="F891" s="1">
        <f t="shared" si="54"/>
        <v>9.5195662109373025E-3</v>
      </c>
      <c r="G891" s="1" t="str">
        <f t="shared" ca="1" si="55"/>
        <v>=E891/E890-1</v>
      </c>
    </row>
    <row r="892" spans="1:7">
      <c r="A892" s="14">
        <v>44462</v>
      </c>
      <c r="B892" s="11">
        <f>VLOOKUP(A892,[1]HD_price_daily!$A$8:$B$1768,2,0)</f>
        <v>335.91</v>
      </c>
      <c r="C892">
        <f t="shared" si="52"/>
        <v>-5.9536212901445396E-5</v>
      </c>
      <c r="D892" s="1" t="str">
        <f t="shared" ca="1" si="53"/>
        <v>=B892/B891-1</v>
      </c>
      <c r="E892" s="8">
        <f>VLOOKUP(A892,'[1]S&amp;P500_DAILY'!$A$8:$B$1768,2,0)</f>
        <v>4448.9799999999996</v>
      </c>
      <c r="F892" s="1">
        <f t="shared" si="54"/>
        <v>1.2134751708511082E-2</v>
      </c>
      <c r="G892" s="1" t="str">
        <f t="shared" ca="1" si="55"/>
        <v>=E892/E891-1</v>
      </c>
    </row>
    <row r="893" spans="1:7">
      <c r="A893" s="14">
        <v>44463</v>
      </c>
      <c r="B893" s="11">
        <f>VLOOKUP(A893,[1]HD_price_daily!$A$8:$B$1768,2,0)</f>
        <v>337.49</v>
      </c>
      <c r="C893">
        <f t="shared" si="52"/>
        <v>4.703640856181579E-3</v>
      </c>
      <c r="D893" s="1" t="str">
        <f t="shared" ca="1" si="53"/>
        <v>=B893/B892-1</v>
      </c>
      <c r="E893" s="8">
        <f>VLOOKUP(A893,'[1]S&amp;P500_DAILY'!$A$8:$B$1768,2,0)</f>
        <v>4455.4799999999996</v>
      </c>
      <c r="F893" s="1">
        <f t="shared" si="54"/>
        <v>1.4610090402744635E-3</v>
      </c>
      <c r="G893" s="1" t="str">
        <f t="shared" ca="1" si="55"/>
        <v>=E893/E892-1</v>
      </c>
    </row>
    <row r="894" spans="1:7">
      <c r="A894" s="14">
        <v>44466</v>
      </c>
      <c r="B894" s="11">
        <f>VLOOKUP(A894,[1]HD_price_daily!$A$8:$B$1768,2,0)</f>
        <v>341.41</v>
      </c>
      <c r="C894">
        <f t="shared" si="52"/>
        <v>1.1615158967673178E-2</v>
      </c>
      <c r="D894" s="1" t="str">
        <f t="shared" ca="1" si="53"/>
        <v>=B894/B893-1</v>
      </c>
      <c r="E894" s="8">
        <f>VLOOKUP(A894,'[1]S&amp;P500_DAILY'!$A$8:$B$1768,2,0)</f>
        <v>4443.1099999999997</v>
      </c>
      <c r="F894" s="1">
        <f t="shared" si="54"/>
        <v>-2.7763563072890074E-3</v>
      </c>
      <c r="G894" s="1" t="str">
        <f t="shared" ca="1" si="55"/>
        <v>=E894/E893-1</v>
      </c>
    </row>
    <row r="895" spans="1:7">
      <c r="A895" s="14">
        <v>44467</v>
      </c>
      <c r="B895" s="11">
        <f>VLOOKUP(A895,[1]HD_price_daily!$A$8:$B$1768,2,0)</f>
        <v>333.8</v>
      </c>
      <c r="C895">
        <f t="shared" si="52"/>
        <v>-2.2289915351044187E-2</v>
      </c>
      <c r="D895" s="1" t="str">
        <f t="shared" ca="1" si="53"/>
        <v>=B895/B894-1</v>
      </c>
      <c r="E895" s="8">
        <f>VLOOKUP(A895,'[1]S&amp;P500_DAILY'!$A$8:$B$1768,2,0)</f>
        <v>4352.63</v>
      </c>
      <c r="F895" s="1">
        <f t="shared" si="54"/>
        <v>-2.0364114325326033E-2</v>
      </c>
      <c r="G895" s="1" t="str">
        <f t="shared" ca="1" si="55"/>
        <v>=E895/E894-1</v>
      </c>
    </row>
    <row r="896" spans="1:7">
      <c r="A896" s="14">
        <v>44468</v>
      </c>
      <c r="B896" s="11">
        <f>VLOOKUP(A896,[1]HD_price_daily!$A$8:$B$1768,2,0)</f>
        <v>336.93</v>
      </c>
      <c r="C896">
        <f t="shared" si="52"/>
        <v>9.3768723786697983E-3</v>
      </c>
      <c r="D896" s="1" t="str">
        <f t="shared" ca="1" si="53"/>
        <v>=B896/B895-1</v>
      </c>
      <c r="E896" s="8">
        <f>VLOOKUP(A896,'[1]S&amp;P500_DAILY'!$A$8:$B$1768,2,0)</f>
        <v>4359.46</v>
      </c>
      <c r="F896" s="1">
        <f t="shared" si="54"/>
        <v>1.5691662282344421E-3</v>
      </c>
      <c r="G896" s="1" t="str">
        <f t="shared" ca="1" si="55"/>
        <v>=E896/E895-1</v>
      </c>
    </row>
    <row r="897" spans="1:7">
      <c r="A897" s="14">
        <v>44469</v>
      </c>
      <c r="B897" s="11">
        <f>VLOOKUP(A897,[1]HD_price_daily!$A$8:$B$1768,2,0)</f>
        <v>328.26</v>
      </c>
      <c r="C897">
        <f t="shared" si="52"/>
        <v>-2.5732347965452762E-2</v>
      </c>
      <c r="D897" s="1" t="str">
        <f t="shared" ca="1" si="53"/>
        <v>=B897/B896-1</v>
      </c>
      <c r="E897" s="8">
        <f>VLOOKUP(A897,'[1]S&amp;P500_DAILY'!$A$8:$B$1768,2,0)</f>
        <v>4307.54</v>
      </c>
      <c r="F897" s="1">
        <f t="shared" si="54"/>
        <v>-1.1909731939276913E-2</v>
      </c>
      <c r="G897" s="1" t="str">
        <f t="shared" ca="1" si="55"/>
        <v>=E897/E896-1</v>
      </c>
    </row>
    <row r="898" spans="1:7">
      <c r="A898" s="14">
        <v>44470</v>
      </c>
      <c r="B898" s="11">
        <f>VLOOKUP(A898,[1]HD_price_daily!$A$8:$B$1768,2,0)</f>
        <v>329.86</v>
      </c>
      <c r="C898">
        <f t="shared" si="52"/>
        <v>4.8741850971791845E-3</v>
      </c>
      <c r="D898" s="1" t="str">
        <f t="shared" ca="1" si="53"/>
        <v>=B898/B897-1</v>
      </c>
      <c r="E898" s="8">
        <f>VLOOKUP(A898,'[1]S&amp;P500_DAILY'!$A$8:$B$1768,2,0)</f>
        <v>4357.04</v>
      </c>
      <c r="F898" s="1">
        <f t="shared" si="54"/>
        <v>1.1491477734391298E-2</v>
      </c>
      <c r="G898" s="1" t="str">
        <f t="shared" ca="1" si="55"/>
        <v>=E898/E897-1</v>
      </c>
    </row>
    <row r="899" spans="1:7">
      <c r="A899" s="14">
        <v>44473</v>
      </c>
      <c r="B899" s="11">
        <f>VLOOKUP(A899,[1]HD_price_daily!$A$8:$B$1768,2,0)</f>
        <v>326.47000000000003</v>
      </c>
      <c r="C899">
        <f t="shared" si="52"/>
        <v>-1.0277087249136008E-2</v>
      </c>
      <c r="D899" s="1" t="str">
        <f t="shared" ca="1" si="53"/>
        <v>=B899/B898-1</v>
      </c>
      <c r="E899" s="8">
        <f>VLOOKUP(A899,'[1]S&amp;P500_DAILY'!$A$8:$B$1768,2,0)</f>
        <v>4300.46</v>
      </c>
      <c r="F899" s="1">
        <f t="shared" si="54"/>
        <v>-1.2985880322420762E-2</v>
      </c>
      <c r="G899" s="1" t="str">
        <f t="shared" ca="1" si="55"/>
        <v>=E899/E898-1</v>
      </c>
    </row>
    <row r="900" spans="1:7">
      <c r="A900" s="14">
        <v>44474</v>
      </c>
      <c r="B900" s="11">
        <f>VLOOKUP(A900,[1]HD_price_daily!$A$8:$B$1768,2,0)</f>
        <v>329.48</v>
      </c>
      <c r="C900">
        <f t="shared" ref="C900:C963" si="56">B900/B899-1</f>
        <v>9.2198364321376403E-3</v>
      </c>
      <c r="D900" s="1" t="str">
        <f t="shared" ref="D900:D963" ca="1" si="57">_xlfn.FORMULATEXT(C900)</f>
        <v>=B900/B899-1</v>
      </c>
      <c r="E900" s="8">
        <f>VLOOKUP(A900,'[1]S&amp;P500_DAILY'!$A$8:$B$1768,2,0)</f>
        <v>4345.72</v>
      </c>
      <c r="F900" s="1">
        <f t="shared" ref="F900:F963" si="58">E900/E899-1</f>
        <v>1.0524455523362564E-2</v>
      </c>
      <c r="G900" s="1" t="str">
        <f t="shared" ref="G900:G963" ca="1" si="59">_xlfn.FORMULATEXT(F900)</f>
        <v>=E900/E899-1</v>
      </c>
    </row>
    <row r="901" spans="1:7">
      <c r="A901" s="14">
        <v>44475</v>
      </c>
      <c r="B901" s="11">
        <f>VLOOKUP(A901,[1]HD_price_daily!$A$8:$B$1768,2,0)</f>
        <v>330.36</v>
      </c>
      <c r="C901">
        <f t="shared" si="56"/>
        <v>2.6708753186839296E-3</v>
      </c>
      <c r="D901" s="1" t="str">
        <f t="shared" ca="1" si="57"/>
        <v>=B901/B900-1</v>
      </c>
      <c r="E901" s="8">
        <f>VLOOKUP(A901,'[1]S&amp;P500_DAILY'!$A$8:$B$1768,2,0)</f>
        <v>4363.55</v>
      </c>
      <c r="F901" s="1">
        <f t="shared" si="58"/>
        <v>4.1028874386752623E-3</v>
      </c>
      <c r="G901" s="1" t="str">
        <f t="shared" ca="1" si="59"/>
        <v>=E901/E900-1</v>
      </c>
    </row>
    <row r="902" spans="1:7">
      <c r="A902" s="14">
        <v>44476</v>
      </c>
      <c r="B902" s="11">
        <f>VLOOKUP(A902,[1]HD_price_daily!$A$8:$B$1768,2,0)</f>
        <v>337.48</v>
      </c>
      <c r="C902">
        <f t="shared" si="56"/>
        <v>2.1552246034628908E-2</v>
      </c>
      <c r="D902" s="1" t="str">
        <f t="shared" ca="1" si="57"/>
        <v>=B902/B901-1</v>
      </c>
      <c r="E902" s="8">
        <f>VLOOKUP(A902,'[1]S&amp;P500_DAILY'!$A$8:$B$1768,2,0)</f>
        <v>4399.76</v>
      </c>
      <c r="F902" s="1">
        <f t="shared" si="58"/>
        <v>8.2982892369745098E-3</v>
      </c>
      <c r="G902" s="1" t="str">
        <f t="shared" ca="1" si="59"/>
        <v>=E902/E901-1</v>
      </c>
    </row>
    <row r="903" spans="1:7">
      <c r="A903" s="14">
        <v>44477</v>
      </c>
      <c r="B903" s="11">
        <f>VLOOKUP(A903,[1]HD_price_daily!$A$8:$B$1768,2,0)</f>
        <v>334.34</v>
      </c>
      <c r="C903">
        <f t="shared" si="56"/>
        <v>-9.304255066967082E-3</v>
      </c>
      <c r="D903" s="1" t="str">
        <f t="shared" ca="1" si="57"/>
        <v>=B903/B902-1</v>
      </c>
      <c r="E903" s="8">
        <f>VLOOKUP(A903,'[1]S&amp;P500_DAILY'!$A$8:$B$1768,2,0)</f>
        <v>4391.34</v>
      </c>
      <c r="F903" s="1">
        <f t="shared" si="58"/>
        <v>-1.9137407494954628E-3</v>
      </c>
      <c r="G903" s="1" t="str">
        <f t="shared" ca="1" si="59"/>
        <v>=E903/E902-1</v>
      </c>
    </row>
    <row r="904" spans="1:7">
      <c r="A904" s="14">
        <v>44480</v>
      </c>
      <c r="B904" s="11">
        <f>VLOOKUP(A904,[1]HD_price_daily!$A$8:$B$1768,2,0)</f>
        <v>336.97</v>
      </c>
      <c r="C904">
        <f t="shared" si="56"/>
        <v>7.8662439432914955E-3</v>
      </c>
      <c r="D904" s="1" t="str">
        <f t="shared" ca="1" si="57"/>
        <v>=B904/B903-1</v>
      </c>
      <c r="E904" s="8">
        <f>VLOOKUP(A904,'[1]S&amp;P500_DAILY'!$A$8:$B$1768,2,0)</f>
        <v>4361.1899999999996</v>
      </c>
      <c r="F904" s="1">
        <f t="shared" si="58"/>
        <v>-6.8657858421348195E-3</v>
      </c>
      <c r="G904" s="1" t="str">
        <f t="shared" ca="1" si="59"/>
        <v>=E904/E903-1</v>
      </c>
    </row>
    <row r="905" spans="1:7">
      <c r="A905" s="14">
        <v>44481</v>
      </c>
      <c r="B905" s="11">
        <f>VLOOKUP(A905,[1]HD_price_daily!$A$8:$B$1768,2,0)</f>
        <v>337.8</v>
      </c>
      <c r="C905">
        <f t="shared" si="56"/>
        <v>2.4631272813602223E-3</v>
      </c>
      <c r="D905" s="1" t="str">
        <f t="shared" ca="1" si="57"/>
        <v>=B905/B904-1</v>
      </c>
      <c r="E905" s="8">
        <f>VLOOKUP(A905,'[1]S&amp;P500_DAILY'!$A$8:$B$1768,2,0)</f>
        <v>4350.6499999999996</v>
      </c>
      <c r="F905" s="1">
        <f t="shared" si="58"/>
        <v>-2.4167715692277048E-3</v>
      </c>
      <c r="G905" s="1" t="str">
        <f t="shared" ca="1" si="59"/>
        <v>=E905/E904-1</v>
      </c>
    </row>
    <row r="906" spans="1:7">
      <c r="A906" s="14">
        <v>44482</v>
      </c>
      <c r="B906" s="11">
        <f>VLOOKUP(A906,[1]HD_price_daily!$A$8:$B$1768,2,0)</f>
        <v>338.28</v>
      </c>
      <c r="C906">
        <f t="shared" si="56"/>
        <v>1.4209591474243499E-3</v>
      </c>
      <c r="D906" s="1" t="str">
        <f t="shared" ca="1" si="57"/>
        <v>=B906/B905-1</v>
      </c>
      <c r="E906" s="8">
        <f>VLOOKUP(A906,'[1]S&amp;P500_DAILY'!$A$8:$B$1768,2,0)</f>
        <v>4363.8</v>
      </c>
      <c r="F906" s="1">
        <f t="shared" si="58"/>
        <v>3.0225368623080229E-3</v>
      </c>
      <c r="G906" s="1" t="str">
        <f t="shared" ca="1" si="59"/>
        <v>=E906/E905-1</v>
      </c>
    </row>
    <row r="907" spans="1:7">
      <c r="A907" s="14">
        <v>44483</v>
      </c>
      <c r="B907" s="11">
        <f>VLOOKUP(A907,[1]HD_price_daily!$A$8:$B$1768,2,0)</f>
        <v>344.05</v>
      </c>
      <c r="C907">
        <f t="shared" si="56"/>
        <v>1.705687596074279E-2</v>
      </c>
      <c r="D907" s="1" t="str">
        <f t="shared" ca="1" si="57"/>
        <v>=B907/B906-1</v>
      </c>
      <c r="E907" s="8">
        <f>VLOOKUP(A907,'[1]S&amp;P500_DAILY'!$A$8:$B$1768,2,0)</f>
        <v>4438.26</v>
      </c>
      <c r="F907" s="1">
        <f t="shared" si="58"/>
        <v>1.706311013337003E-2</v>
      </c>
      <c r="G907" s="1" t="str">
        <f t="shared" ca="1" si="59"/>
        <v>=E907/E906-1</v>
      </c>
    </row>
    <row r="908" spans="1:7">
      <c r="A908" s="14">
        <v>44484</v>
      </c>
      <c r="B908" s="11">
        <f>VLOOKUP(A908,[1]HD_price_daily!$A$8:$B$1768,2,0)</f>
        <v>350.41</v>
      </c>
      <c r="C908">
        <f t="shared" si="56"/>
        <v>1.8485685220171577E-2</v>
      </c>
      <c r="D908" s="1" t="str">
        <f t="shared" ca="1" si="57"/>
        <v>=B908/B907-1</v>
      </c>
      <c r="E908" s="8">
        <f>VLOOKUP(A908,'[1]S&amp;P500_DAILY'!$A$8:$B$1768,2,0)</f>
        <v>4471.37</v>
      </c>
      <c r="F908" s="1">
        <f t="shared" si="58"/>
        <v>7.4601307719690535E-3</v>
      </c>
      <c r="G908" s="1" t="str">
        <f t="shared" ca="1" si="59"/>
        <v>=E908/E907-1</v>
      </c>
    </row>
    <row r="909" spans="1:7">
      <c r="A909" s="14">
        <v>44487</v>
      </c>
      <c r="B909" s="11">
        <f>VLOOKUP(A909,[1]HD_price_daily!$A$8:$B$1768,2,0)</f>
        <v>355.01</v>
      </c>
      <c r="C909">
        <f t="shared" si="56"/>
        <v>1.3127479238606021E-2</v>
      </c>
      <c r="D909" s="1" t="str">
        <f t="shared" ca="1" si="57"/>
        <v>=B909/B908-1</v>
      </c>
      <c r="E909" s="8">
        <f>VLOOKUP(A909,'[1]S&amp;P500_DAILY'!$A$8:$B$1768,2,0)</f>
        <v>4486.46</v>
      </c>
      <c r="F909" s="1">
        <f t="shared" si="58"/>
        <v>3.3748045900920953E-3</v>
      </c>
      <c r="G909" s="1" t="str">
        <f t="shared" ca="1" si="59"/>
        <v>=E909/E908-1</v>
      </c>
    </row>
    <row r="910" spans="1:7">
      <c r="A910" s="14">
        <v>44488</v>
      </c>
      <c r="B910" s="11">
        <f>VLOOKUP(A910,[1]HD_price_daily!$A$8:$B$1768,2,0)</f>
        <v>357.99</v>
      </c>
      <c r="C910">
        <f t="shared" si="56"/>
        <v>8.3941297428242745E-3</v>
      </c>
      <c r="D910" s="1" t="str">
        <f t="shared" ca="1" si="57"/>
        <v>=B910/B909-1</v>
      </c>
      <c r="E910" s="8">
        <f>VLOOKUP(A910,'[1]S&amp;P500_DAILY'!$A$8:$B$1768,2,0)</f>
        <v>4519.63</v>
      </c>
      <c r="F910" s="1">
        <f t="shared" si="58"/>
        <v>7.3933569005406596E-3</v>
      </c>
      <c r="G910" s="1" t="str">
        <f t="shared" ca="1" si="59"/>
        <v>=E910/E909-1</v>
      </c>
    </row>
    <row r="911" spans="1:7">
      <c r="A911" s="14">
        <v>44489</v>
      </c>
      <c r="B911" s="11">
        <f>VLOOKUP(A911,[1]HD_price_daily!$A$8:$B$1768,2,0)</f>
        <v>358.23</v>
      </c>
      <c r="C911">
        <f t="shared" si="56"/>
        <v>6.7040978798282858E-4</v>
      </c>
      <c r="D911" s="1" t="str">
        <f t="shared" ca="1" si="57"/>
        <v>=B911/B910-1</v>
      </c>
      <c r="E911" s="8">
        <f>VLOOKUP(A911,'[1]S&amp;P500_DAILY'!$A$8:$B$1768,2,0)</f>
        <v>4536.1899999999996</v>
      </c>
      <c r="F911" s="1">
        <f t="shared" si="58"/>
        <v>3.6640167447334893E-3</v>
      </c>
      <c r="G911" s="1" t="str">
        <f t="shared" ca="1" si="59"/>
        <v>=E911/E910-1</v>
      </c>
    </row>
    <row r="912" spans="1:7">
      <c r="A912" s="14">
        <v>44490</v>
      </c>
      <c r="B912" s="11">
        <f>VLOOKUP(A912,[1]HD_price_daily!$A$8:$B$1768,2,0)</f>
        <v>364.62</v>
      </c>
      <c r="C912">
        <f t="shared" si="56"/>
        <v>1.7837702035005343E-2</v>
      </c>
      <c r="D912" s="1" t="str">
        <f t="shared" ca="1" si="57"/>
        <v>=B912/B911-1</v>
      </c>
      <c r="E912" s="8">
        <f>VLOOKUP(A912,'[1]S&amp;P500_DAILY'!$A$8:$B$1768,2,0)</f>
        <v>4549.78</v>
      </c>
      <c r="F912" s="1">
        <f t="shared" si="58"/>
        <v>2.995906256131331E-3</v>
      </c>
      <c r="G912" s="1" t="str">
        <f t="shared" ca="1" si="59"/>
        <v>=E912/E911-1</v>
      </c>
    </row>
    <row r="913" spans="1:7">
      <c r="A913" s="14">
        <v>44491</v>
      </c>
      <c r="B913" s="11">
        <f>VLOOKUP(A913,[1]HD_price_daily!$A$8:$B$1768,2,0)</f>
        <v>365.99</v>
      </c>
      <c r="C913">
        <f t="shared" si="56"/>
        <v>3.7573364050245139E-3</v>
      </c>
      <c r="D913" s="1" t="str">
        <f t="shared" ca="1" si="57"/>
        <v>=B913/B912-1</v>
      </c>
      <c r="E913" s="8">
        <f>VLOOKUP(A913,'[1]S&amp;P500_DAILY'!$A$8:$B$1768,2,0)</f>
        <v>4544.8999999999996</v>
      </c>
      <c r="F913" s="1">
        <f t="shared" si="58"/>
        <v>-1.0725793335062406E-3</v>
      </c>
      <c r="G913" s="1" t="str">
        <f t="shared" ca="1" si="59"/>
        <v>=E913/E912-1</v>
      </c>
    </row>
    <row r="914" spans="1:7">
      <c r="A914" s="14">
        <v>44494</v>
      </c>
      <c r="B914" s="11">
        <f>VLOOKUP(A914,[1]HD_price_daily!$A$8:$B$1768,2,0)</f>
        <v>371.26</v>
      </c>
      <c r="C914">
        <f t="shared" si="56"/>
        <v>1.4399300527336845E-2</v>
      </c>
      <c r="D914" s="1" t="str">
        <f t="shared" ca="1" si="57"/>
        <v>=B914/B913-1</v>
      </c>
      <c r="E914" s="8">
        <f>VLOOKUP(A914,'[1]S&amp;P500_DAILY'!$A$8:$B$1768,2,0)</f>
        <v>4566.4799999999996</v>
      </c>
      <c r="F914" s="1">
        <f t="shared" si="58"/>
        <v>4.7481792778718557E-3</v>
      </c>
      <c r="G914" s="1" t="str">
        <f t="shared" ca="1" si="59"/>
        <v>=E914/E913-1</v>
      </c>
    </row>
    <row r="915" spans="1:7">
      <c r="A915" s="14">
        <v>44495</v>
      </c>
      <c r="B915" s="11">
        <f>VLOOKUP(A915,[1]HD_price_daily!$A$8:$B$1768,2,0)</f>
        <v>369.2</v>
      </c>
      <c r="C915">
        <f t="shared" si="56"/>
        <v>-5.548672089640716E-3</v>
      </c>
      <c r="D915" s="1" t="str">
        <f t="shared" ca="1" si="57"/>
        <v>=B915/B914-1</v>
      </c>
      <c r="E915" s="8">
        <f>VLOOKUP(A915,'[1]S&amp;P500_DAILY'!$A$8:$B$1768,2,0)</f>
        <v>4574.79</v>
      </c>
      <c r="F915" s="1">
        <f t="shared" si="58"/>
        <v>1.8197824144636776E-3</v>
      </c>
      <c r="G915" s="1" t="str">
        <f t="shared" ca="1" si="59"/>
        <v>=E915/E914-1</v>
      </c>
    </row>
    <row r="916" spans="1:7">
      <c r="A916" s="14">
        <v>44496</v>
      </c>
      <c r="B916" s="11">
        <f>VLOOKUP(A916,[1]HD_price_daily!$A$8:$B$1768,2,0)</f>
        <v>372.32</v>
      </c>
      <c r="C916">
        <f t="shared" si="56"/>
        <v>8.4507042253521014E-3</v>
      </c>
      <c r="D916" s="1" t="str">
        <f t="shared" ca="1" si="57"/>
        <v>=B916/B915-1</v>
      </c>
      <c r="E916" s="8">
        <f>VLOOKUP(A916,'[1]S&amp;P500_DAILY'!$A$8:$B$1768,2,0)</f>
        <v>4551.68</v>
      </c>
      <c r="F916" s="1">
        <f t="shared" si="58"/>
        <v>-5.0515979968478453E-3</v>
      </c>
      <c r="G916" s="1" t="str">
        <f t="shared" ca="1" si="59"/>
        <v>=E916/E915-1</v>
      </c>
    </row>
    <row r="917" spans="1:7">
      <c r="A917" s="14">
        <v>44497</v>
      </c>
      <c r="B917" s="11">
        <f>VLOOKUP(A917,[1]HD_price_daily!$A$8:$B$1768,2,0)</f>
        <v>371.57</v>
      </c>
      <c r="C917">
        <f t="shared" si="56"/>
        <v>-2.0143962183067909E-3</v>
      </c>
      <c r="D917" s="1" t="str">
        <f t="shared" ca="1" si="57"/>
        <v>=B917/B916-1</v>
      </c>
      <c r="E917" s="8">
        <f>VLOOKUP(A917,'[1]S&amp;P500_DAILY'!$A$8:$B$1768,2,0)</f>
        <v>4596.42</v>
      </c>
      <c r="F917" s="1">
        <f t="shared" si="58"/>
        <v>9.8293377390326064E-3</v>
      </c>
      <c r="G917" s="1" t="str">
        <f t="shared" ca="1" si="59"/>
        <v>=E917/E916-1</v>
      </c>
    </row>
    <row r="918" spans="1:7">
      <c r="A918" s="14">
        <v>44498</v>
      </c>
      <c r="B918" s="11">
        <f>VLOOKUP(A918,[1]HD_price_daily!$A$8:$B$1768,2,0)</f>
        <v>371.74</v>
      </c>
      <c r="C918">
        <f t="shared" si="56"/>
        <v>4.5751809887772943E-4</v>
      </c>
      <c r="D918" s="1" t="str">
        <f t="shared" ca="1" si="57"/>
        <v>=B918/B917-1</v>
      </c>
      <c r="E918" s="8">
        <f>VLOOKUP(A918,'[1]S&amp;P500_DAILY'!$A$8:$B$1768,2,0)</f>
        <v>4605.38</v>
      </c>
      <c r="F918" s="1">
        <f t="shared" si="58"/>
        <v>1.9493431844783693E-3</v>
      </c>
      <c r="G918" s="1" t="str">
        <f t="shared" ca="1" si="59"/>
        <v>=E918/E917-1</v>
      </c>
    </row>
    <row r="919" spans="1:7">
      <c r="A919" s="14">
        <v>44501</v>
      </c>
      <c r="B919" s="11">
        <f>VLOOKUP(A919,[1]HD_price_daily!$A$8:$B$1768,2,0)</f>
        <v>366.48</v>
      </c>
      <c r="C919">
        <f t="shared" si="56"/>
        <v>-1.4149674503685317E-2</v>
      </c>
      <c r="D919" s="1" t="str">
        <f t="shared" ca="1" si="57"/>
        <v>=B919/B918-1</v>
      </c>
      <c r="E919" s="8">
        <f>VLOOKUP(A919,'[1]S&amp;P500_DAILY'!$A$8:$B$1768,2,0)</f>
        <v>4613.67</v>
      </c>
      <c r="F919" s="1">
        <f t="shared" si="58"/>
        <v>1.8000686154020507E-3</v>
      </c>
      <c r="G919" s="1" t="str">
        <f t="shared" ca="1" si="59"/>
        <v>=E919/E918-1</v>
      </c>
    </row>
    <row r="920" spans="1:7">
      <c r="A920" s="14">
        <v>44502</v>
      </c>
      <c r="B920" s="11">
        <f>VLOOKUP(A920,[1]HD_price_daily!$A$8:$B$1768,2,0)</f>
        <v>367.29</v>
      </c>
      <c r="C920">
        <f t="shared" si="56"/>
        <v>2.2102161100197026E-3</v>
      </c>
      <c r="D920" s="1" t="str">
        <f t="shared" ca="1" si="57"/>
        <v>=B920/B919-1</v>
      </c>
      <c r="E920" s="8">
        <f>VLOOKUP(A920,'[1]S&amp;P500_DAILY'!$A$8:$B$1768,2,0)</f>
        <v>4630.6499999999996</v>
      </c>
      <c r="F920" s="1">
        <f t="shared" si="58"/>
        <v>3.6803672564356127E-3</v>
      </c>
      <c r="G920" s="1" t="str">
        <f t="shared" ca="1" si="59"/>
        <v>=E920/E919-1</v>
      </c>
    </row>
    <row r="921" spans="1:7">
      <c r="A921" s="14">
        <v>44503</v>
      </c>
      <c r="B921" s="11">
        <f>VLOOKUP(A921,[1]HD_price_daily!$A$8:$B$1768,2,0)</f>
        <v>368.97</v>
      </c>
      <c r="C921">
        <f t="shared" si="56"/>
        <v>4.5740423098914462E-3</v>
      </c>
      <c r="D921" s="1" t="str">
        <f t="shared" ca="1" si="57"/>
        <v>=B921/B920-1</v>
      </c>
      <c r="E921" s="8">
        <f>VLOOKUP(A921,'[1]S&amp;P500_DAILY'!$A$8:$B$1768,2,0)</f>
        <v>4660.57</v>
      </c>
      <c r="F921" s="1">
        <f t="shared" si="58"/>
        <v>6.4612959303769202E-3</v>
      </c>
      <c r="G921" s="1" t="str">
        <f t="shared" ca="1" si="59"/>
        <v>=E921/E920-1</v>
      </c>
    </row>
    <row r="922" spans="1:7">
      <c r="A922" s="14">
        <v>44504</v>
      </c>
      <c r="B922" s="11">
        <f>VLOOKUP(A922,[1]HD_price_daily!$A$8:$B$1768,2,0)</f>
        <v>372.18</v>
      </c>
      <c r="C922">
        <f t="shared" si="56"/>
        <v>8.6998943003495643E-3</v>
      </c>
      <c r="D922" s="1" t="str">
        <f t="shared" ca="1" si="57"/>
        <v>=B922/B921-1</v>
      </c>
      <c r="E922" s="8">
        <f>VLOOKUP(A922,'[1]S&amp;P500_DAILY'!$A$8:$B$1768,2,0)</f>
        <v>4680.0600000000004</v>
      </c>
      <c r="F922" s="1">
        <f t="shared" si="58"/>
        <v>4.1818919145084621E-3</v>
      </c>
      <c r="G922" s="1" t="str">
        <f t="shared" ca="1" si="59"/>
        <v>=E922/E921-1</v>
      </c>
    </row>
    <row r="923" spans="1:7">
      <c r="A923" s="14">
        <v>44505</v>
      </c>
      <c r="B923" s="11">
        <f>VLOOKUP(A923,[1]HD_price_daily!$A$8:$B$1768,2,0)</f>
        <v>368.4</v>
      </c>
      <c r="C923">
        <f t="shared" si="56"/>
        <v>-1.0156375947122487E-2</v>
      </c>
      <c r="D923" s="1" t="str">
        <f t="shared" ca="1" si="57"/>
        <v>=B923/B922-1</v>
      </c>
      <c r="E923" s="8">
        <f>VLOOKUP(A923,'[1]S&amp;P500_DAILY'!$A$8:$B$1768,2,0)</f>
        <v>4697.53</v>
      </c>
      <c r="F923" s="1">
        <f t="shared" si="58"/>
        <v>3.7328581257503046E-3</v>
      </c>
      <c r="G923" s="1" t="str">
        <f t="shared" ca="1" si="59"/>
        <v>=E923/E922-1</v>
      </c>
    </row>
    <row r="924" spans="1:7">
      <c r="A924" s="14">
        <v>44508</v>
      </c>
      <c r="B924" s="11">
        <f>VLOOKUP(A924,[1]HD_price_daily!$A$8:$B$1768,2,0)</f>
        <v>368.59</v>
      </c>
      <c r="C924">
        <f t="shared" si="56"/>
        <v>5.1574375678620221E-4</v>
      </c>
      <c r="D924" s="1" t="str">
        <f t="shared" ca="1" si="57"/>
        <v>=B924/B923-1</v>
      </c>
      <c r="E924" s="8">
        <f>VLOOKUP(A924,'[1]S&amp;P500_DAILY'!$A$8:$B$1768,2,0)</f>
        <v>4701.7</v>
      </c>
      <c r="F924" s="1">
        <f t="shared" si="58"/>
        <v>8.8770055752696031E-4</v>
      </c>
      <c r="G924" s="1" t="str">
        <f t="shared" ca="1" si="59"/>
        <v>=E924/E923-1</v>
      </c>
    </row>
    <row r="925" spans="1:7">
      <c r="A925" s="14">
        <v>44509</v>
      </c>
      <c r="B925" s="11">
        <f>VLOOKUP(A925,[1]HD_price_daily!$A$8:$B$1768,2,0)</f>
        <v>370.65</v>
      </c>
      <c r="C925">
        <f t="shared" si="56"/>
        <v>5.5888656773108725E-3</v>
      </c>
      <c r="D925" s="1" t="str">
        <f t="shared" ca="1" si="57"/>
        <v>=B925/B924-1</v>
      </c>
      <c r="E925" s="8">
        <f>VLOOKUP(A925,'[1]S&amp;P500_DAILY'!$A$8:$B$1768,2,0)</f>
        <v>4685.25</v>
      </c>
      <c r="F925" s="1">
        <f t="shared" si="58"/>
        <v>-3.4987345002870374E-3</v>
      </c>
      <c r="G925" s="1" t="str">
        <f t="shared" ca="1" si="59"/>
        <v>=E925/E924-1</v>
      </c>
    </row>
    <row r="926" spans="1:7">
      <c r="A926" s="14">
        <v>44510</v>
      </c>
      <c r="B926" s="11">
        <f>VLOOKUP(A926,[1]HD_price_daily!$A$8:$B$1768,2,0)</f>
        <v>368.58</v>
      </c>
      <c r="C926">
        <f t="shared" si="56"/>
        <v>-5.5847834884661385E-3</v>
      </c>
      <c r="D926" s="1" t="str">
        <f t="shared" ca="1" si="57"/>
        <v>=B926/B925-1</v>
      </c>
      <c r="E926" s="8">
        <f>VLOOKUP(A926,'[1]S&amp;P500_DAILY'!$A$8:$B$1768,2,0)</f>
        <v>4646.71</v>
      </c>
      <c r="F926" s="1">
        <f t="shared" si="58"/>
        <v>-8.2258150578944367E-3</v>
      </c>
      <c r="G926" s="1" t="str">
        <f t="shared" ca="1" si="59"/>
        <v>=E926/E925-1</v>
      </c>
    </row>
    <row r="927" spans="1:7">
      <c r="A927" s="14">
        <v>44511</v>
      </c>
      <c r="B927" s="11">
        <f>VLOOKUP(A927,[1]HD_price_daily!$A$8:$B$1768,2,0)</f>
        <v>367.63</v>
      </c>
      <c r="C927">
        <f t="shared" si="56"/>
        <v>-2.5774594389277317E-3</v>
      </c>
      <c r="D927" s="1" t="str">
        <f t="shared" ca="1" si="57"/>
        <v>=B927/B926-1</v>
      </c>
      <c r="E927" s="8">
        <f>VLOOKUP(A927,'[1]S&amp;P500_DAILY'!$A$8:$B$1768,2,0)</f>
        <v>4649.2700000000004</v>
      </c>
      <c r="F927" s="1">
        <f t="shared" si="58"/>
        <v>5.5092743037565839E-4</v>
      </c>
      <c r="G927" s="1" t="str">
        <f t="shared" ca="1" si="59"/>
        <v>=E927/E926-1</v>
      </c>
    </row>
    <row r="928" spans="1:7">
      <c r="A928" s="14">
        <v>44512</v>
      </c>
      <c r="B928" s="11">
        <f>VLOOKUP(A928,[1]HD_price_daily!$A$8:$B$1768,2,0)</f>
        <v>372.63</v>
      </c>
      <c r="C928">
        <f t="shared" si="56"/>
        <v>1.3600631069281555E-2</v>
      </c>
      <c r="D928" s="1" t="str">
        <f t="shared" ca="1" si="57"/>
        <v>=B928/B927-1</v>
      </c>
      <c r="E928" s="8">
        <f>VLOOKUP(A928,'[1]S&amp;P500_DAILY'!$A$8:$B$1768,2,0)</f>
        <v>4682.8500000000004</v>
      </c>
      <c r="F928" s="1">
        <f t="shared" si="58"/>
        <v>7.2226392530441164E-3</v>
      </c>
      <c r="G928" s="1" t="str">
        <f t="shared" ca="1" si="59"/>
        <v>=E928/E927-1</v>
      </c>
    </row>
    <row r="929" spans="1:7">
      <c r="A929" s="14">
        <v>44515</v>
      </c>
      <c r="B929" s="11">
        <f>VLOOKUP(A929,[1]HD_price_daily!$A$8:$B$1768,2,0)</f>
        <v>371.08</v>
      </c>
      <c r="C929">
        <f t="shared" si="56"/>
        <v>-4.1596221452916415E-3</v>
      </c>
      <c r="D929" s="1" t="str">
        <f t="shared" ca="1" si="57"/>
        <v>=B929/B928-1</v>
      </c>
      <c r="E929" s="8">
        <f>VLOOKUP(A929,'[1]S&amp;P500_DAILY'!$A$8:$B$1768,2,0)</f>
        <v>4682.8</v>
      </c>
      <c r="F929" s="1">
        <f t="shared" si="58"/>
        <v>-1.0677258507119092E-5</v>
      </c>
      <c r="G929" s="1" t="str">
        <f t="shared" ca="1" si="59"/>
        <v>=E929/E928-1</v>
      </c>
    </row>
    <row r="930" spans="1:7">
      <c r="A930" s="14">
        <v>44516</v>
      </c>
      <c r="B930" s="11">
        <f>VLOOKUP(A930,[1]HD_price_daily!$A$8:$B$1768,2,0)</f>
        <v>392.33</v>
      </c>
      <c r="C930">
        <f t="shared" si="56"/>
        <v>5.7265279724048712E-2</v>
      </c>
      <c r="D930" s="1" t="str">
        <f t="shared" ca="1" si="57"/>
        <v>=B930/B929-1</v>
      </c>
      <c r="E930" s="8">
        <f>VLOOKUP(A930,'[1]S&amp;P500_DAILY'!$A$8:$B$1768,2,0)</f>
        <v>4700.8999999999996</v>
      </c>
      <c r="F930" s="1">
        <f t="shared" si="58"/>
        <v>3.8652088494062209E-3</v>
      </c>
      <c r="G930" s="1" t="str">
        <f t="shared" ca="1" si="59"/>
        <v>=E930/E929-1</v>
      </c>
    </row>
    <row r="931" spans="1:7">
      <c r="A931" s="14">
        <v>44517</v>
      </c>
      <c r="B931" s="11">
        <f>VLOOKUP(A931,[1]HD_price_daily!$A$8:$B$1768,2,0)</f>
        <v>394.85</v>
      </c>
      <c r="C931">
        <f t="shared" si="56"/>
        <v>6.4231641730176925E-3</v>
      </c>
      <c r="D931" s="1" t="str">
        <f t="shared" ca="1" si="57"/>
        <v>=B931/B930-1</v>
      </c>
      <c r="E931" s="8">
        <f>VLOOKUP(A931,'[1]S&amp;P500_DAILY'!$A$8:$B$1768,2,0)</f>
        <v>4688.67</v>
      </c>
      <c r="F931" s="1">
        <f t="shared" si="58"/>
        <v>-2.6016294752068125E-3</v>
      </c>
      <c r="G931" s="1" t="str">
        <f t="shared" ca="1" si="59"/>
        <v>=E931/E930-1</v>
      </c>
    </row>
    <row r="932" spans="1:7">
      <c r="A932" s="14">
        <v>44518</v>
      </c>
      <c r="B932" s="11">
        <f>VLOOKUP(A932,[1]HD_price_daily!$A$8:$B$1768,2,0)</f>
        <v>405.85</v>
      </c>
      <c r="C932">
        <f t="shared" si="56"/>
        <v>2.7858680511586575E-2</v>
      </c>
      <c r="D932" s="1" t="str">
        <f t="shared" ca="1" si="57"/>
        <v>=B932/B931-1</v>
      </c>
      <c r="E932" s="8">
        <f>VLOOKUP(A932,'[1]S&amp;P500_DAILY'!$A$8:$B$1768,2,0)</f>
        <v>4704.54</v>
      </c>
      <c r="F932" s="1">
        <f t="shared" si="58"/>
        <v>3.3847551651107199E-3</v>
      </c>
      <c r="G932" s="1" t="str">
        <f t="shared" ca="1" si="59"/>
        <v>=E932/E931-1</v>
      </c>
    </row>
    <row r="933" spans="1:7">
      <c r="A933" s="14">
        <v>44519</v>
      </c>
      <c r="B933" s="11">
        <f>VLOOKUP(A933,[1]HD_price_daily!$A$8:$B$1768,2,0)</f>
        <v>408.69</v>
      </c>
      <c r="C933">
        <f t="shared" si="56"/>
        <v>6.9976592337068766E-3</v>
      </c>
      <c r="D933" s="1" t="str">
        <f t="shared" ca="1" si="57"/>
        <v>=B933/B932-1</v>
      </c>
      <c r="E933" s="8">
        <f>VLOOKUP(A933,'[1]S&amp;P500_DAILY'!$A$8:$B$1768,2,0)</f>
        <v>4697.96</v>
      </c>
      <c r="F933" s="1">
        <f t="shared" si="58"/>
        <v>-1.3986489646171663E-3</v>
      </c>
      <c r="G933" s="1" t="str">
        <f t="shared" ca="1" si="59"/>
        <v>=E933/E932-1</v>
      </c>
    </row>
    <row r="934" spans="1:7">
      <c r="A934" s="14">
        <v>44522</v>
      </c>
      <c r="B934" s="11">
        <f>VLOOKUP(A934,[1]HD_price_daily!$A$8:$B$1768,2,0)</f>
        <v>408.79</v>
      </c>
      <c r="C934">
        <f t="shared" si="56"/>
        <v>2.4468423499479641E-4</v>
      </c>
      <c r="D934" s="1" t="str">
        <f t="shared" ca="1" si="57"/>
        <v>=B934/B933-1</v>
      </c>
      <c r="E934" s="8">
        <f>VLOOKUP(A934,'[1]S&amp;P500_DAILY'!$A$8:$B$1768,2,0)</f>
        <v>4682.9399999999996</v>
      </c>
      <c r="F934" s="1">
        <f t="shared" si="58"/>
        <v>-3.1971323723489764E-3</v>
      </c>
      <c r="G934" s="1" t="str">
        <f t="shared" ca="1" si="59"/>
        <v>=E934/E933-1</v>
      </c>
    </row>
    <row r="935" spans="1:7">
      <c r="A935" s="14">
        <v>44523</v>
      </c>
      <c r="B935" s="11">
        <f>VLOOKUP(A935,[1]HD_price_daily!$A$8:$B$1768,2,0)</f>
        <v>408.37</v>
      </c>
      <c r="C935">
        <f t="shared" si="56"/>
        <v>-1.0274223929157555E-3</v>
      </c>
      <c r="D935" s="1" t="str">
        <f t="shared" ca="1" si="57"/>
        <v>=B935/B934-1</v>
      </c>
      <c r="E935" s="8">
        <f>VLOOKUP(A935,'[1]S&amp;P500_DAILY'!$A$8:$B$1768,2,0)</f>
        <v>4690.7</v>
      </c>
      <c r="F935" s="1">
        <f t="shared" si="58"/>
        <v>1.6570786727996278E-3</v>
      </c>
      <c r="G935" s="1" t="str">
        <f t="shared" ca="1" si="59"/>
        <v>=E935/E934-1</v>
      </c>
    </row>
    <row r="936" spans="1:7">
      <c r="A936" s="14">
        <v>44524</v>
      </c>
      <c r="B936" s="11">
        <f>VLOOKUP(A936,[1]HD_price_daily!$A$8:$B$1768,2,0)</f>
        <v>412.11</v>
      </c>
      <c r="C936">
        <f t="shared" si="56"/>
        <v>9.1583612900065781E-3</v>
      </c>
      <c r="D936" s="1" t="str">
        <f t="shared" ca="1" si="57"/>
        <v>=B936/B935-1</v>
      </c>
      <c r="E936" s="8">
        <f>VLOOKUP(A936,'[1]S&amp;P500_DAILY'!$A$8:$B$1768,2,0)</f>
        <v>4701.46</v>
      </c>
      <c r="F936" s="1">
        <f t="shared" si="58"/>
        <v>2.2939006971240961E-3</v>
      </c>
      <c r="G936" s="1" t="str">
        <f t="shared" ca="1" si="59"/>
        <v>=E936/E935-1</v>
      </c>
    </row>
    <row r="937" spans="1:7">
      <c r="A937" s="14">
        <v>44526</v>
      </c>
      <c r="B937" s="11">
        <f>VLOOKUP(A937,[1]HD_price_daily!$A$8:$B$1768,2,0)</f>
        <v>402.7</v>
      </c>
      <c r="C937">
        <f t="shared" si="56"/>
        <v>-2.2833709446507089E-2</v>
      </c>
      <c r="D937" s="1" t="str">
        <f t="shared" ca="1" si="57"/>
        <v>=B937/B936-1</v>
      </c>
      <c r="E937" s="8">
        <f>VLOOKUP(A937,'[1]S&amp;P500_DAILY'!$A$8:$B$1768,2,0)</f>
        <v>4594.62</v>
      </c>
      <c r="F937" s="1">
        <f t="shared" si="58"/>
        <v>-2.2724855683128209E-2</v>
      </c>
      <c r="G937" s="1" t="str">
        <f t="shared" ca="1" si="59"/>
        <v>=E937/E936-1</v>
      </c>
    </row>
    <row r="938" spans="1:7">
      <c r="A938" s="14">
        <v>44529</v>
      </c>
      <c r="B938" s="11">
        <f>VLOOKUP(A938,[1]HD_price_daily!$A$8:$B$1768,2,0)</f>
        <v>406.82</v>
      </c>
      <c r="C938">
        <f t="shared" si="56"/>
        <v>1.023094114725609E-2</v>
      </c>
      <c r="D938" s="1" t="str">
        <f t="shared" ca="1" si="57"/>
        <v>=B938/B937-1</v>
      </c>
      <c r="E938" s="8">
        <f>VLOOKUP(A938,'[1]S&amp;P500_DAILY'!$A$8:$B$1768,2,0)</f>
        <v>4655.2700000000004</v>
      </c>
      <c r="F938" s="1">
        <f t="shared" si="58"/>
        <v>1.3200221128189193E-2</v>
      </c>
      <c r="G938" s="1" t="str">
        <f t="shared" ca="1" si="59"/>
        <v>=E938/E937-1</v>
      </c>
    </row>
    <row r="939" spans="1:7">
      <c r="A939" s="14">
        <v>44530</v>
      </c>
      <c r="B939" s="11">
        <f>VLOOKUP(A939,[1]HD_price_daily!$A$8:$B$1768,2,0)</f>
        <v>400.61</v>
      </c>
      <c r="C939">
        <f t="shared" si="56"/>
        <v>-1.5264736246988764E-2</v>
      </c>
      <c r="D939" s="1" t="str">
        <f t="shared" ca="1" si="57"/>
        <v>=B939/B938-1</v>
      </c>
      <c r="E939" s="8">
        <f>VLOOKUP(A939,'[1]S&amp;P500_DAILY'!$A$8:$B$1768,2,0)</f>
        <v>4567</v>
      </c>
      <c r="F939" s="1">
        <f t="shared" si="58"/>
        <v>-1.8961306218543861E-2</v>
      </c>
      <c r="G939" s="1" t="str">
        <f t="shared" ca="1" si="59"/>
        <v>=E939/E938-1</v>
      </c>
    </row>
    <row r="940" spans="1:7">
      <c r="A940" s="14">
        <v>44531</v>
      </c>
      <c r="B940" s="11">
        <f>VLOOKUP(A940,[1]HD_price_daily!$A$8:$B$1768,2,0)</f>
        <v>400.42</v>
      </c>
      <c r="C940">
        <f t="shared" si="56"/>
        <v>-4.7427672798983078E-4</v>
      </c>
      <c r="D940" s="1" t="str">
        <f t="shared" ca="1" si="57"/>
        <v>=B940/B939-1</v>
      </c>
      <c r="E940" s="8">
        <f>VLOOKUP(A940,'[1]S&amp;P500_DAILY'!$A$8:$B$1768,2,0)</f>
        <v>4513.04</v>
      </c>
      <c r="F940" s="1">
        <f t="shared" si="58"/>
        <v>-1.1815195971097037E-2</v>
      </c>
      <c r="G940" s="1" t="str">
        <f t="shared" ca="1" si="59"/>
        <v>=E940/E939-1</v>
      </c>
    </row>
    <row r="941" spans="1:7">
      <c r="A941" s="14">
        <v>44532</v>
      </c>
      <c r="B941" s="11">
        <f>VLOOKUP(A941,[1]HD_price_daily!$A$8:$B$1768,2,0)</f>
        <v>407.77</v>
      </c>
      <c r="C941">
        <f t="shared" si="56"/>
        <v>1.8355726487188306E-2</v>
      </c>
      <c r="D941" s="1" t="str">
        <f t="shared" ca="1" si="57"/>
        <v>=B941/B940-1</v>
      </c>
      <c r="E941" s="8">
        <f>VLOOKUP(A941,'[1]S&amp;P500_DAILY'!$A$8:$B$1768,2,0)</f>
        <v>4577.1000000000004</v>
      </c>
      <c r="F941" s="1">
        <f t="shared" si="58"/>
        <v>1.4194423271231882E-2</v>
      </c>
      <c r="G941" s="1" t="str">
        <f t="shared" ca="1" si="59"/>
        <v>=E941/E940-1</v>
      </c>
    </row>
    <row r="942" spans="1:7">
      <c r="A942" s="14">
        <v>44533</v>
      </c>
      <c r="B942" s="11">
        <f>VLOOKUP(A942,[1]HD_price_daily!$A$8:$B$1768,2,0)</f>
        <v>407.81</v>
      </c>
      <c r="C942">
        <f t="shared" si="56"/>
        <v>9.8094514064284155E-5</v>
      </c>
      <c r="D942" s="1" t="str">
        <f t="shared" ca="1" si="57"/>
        <v>=B942/B941-1</v>
      </c>
      <c r="E942" s="8">
        <f>VLOOKUP(A942,'[1]S&amp;P500_DAILY'!$A$8:$B$1768,2,0)</f>
        <v>4538.43</v>
      </c>
      <c r="F942" s="1">
        <f t="shared" si="58"/>
        <v>-8.4485809792226307E-3</v>
      </c>
      <c r="G942" s="1" t="str">
        <f t="shared" ca="1" si="59"/>
        <v>=E942/E941-1</v>
      </c>
    </row>
    <row r="943" spans="1:7">
      <c r="A943" s="14">
        <v>44536</v>
      </c>
      <c r="B943" s="11">
        <f>VLOOKUP(A943,[1]HD_price_daily!$A$8:$B$1768,2,0)</f>
        <v>415.7</v>
      </c>
      <c r="C943">
        <f t="shared" si="56"/>
        <v>1.9347245040582495E-2</v>
      </c>
      <c r="D943" s="1" t="str">
        <f t="shared" ca="1" si="57"/>
        <v>=B943/B942-1</v>
      </c>
      <c r="E943" s="8">
        <f>VLOOKUP(A943,'[1]S&amp;P500_DAILY'!$A$8:$B$1768,2,0)</f>
        <v>4591.67</v>
      </c>
      <c r="F943" s="1">
        <f t="shared" si="58"/>
        <v>1.1730928977641941E-2</v>
      </c>
      <c r="G943" s="1" t="str">
        <f t="shared" ca="1" si="59"/>
        <v>=E943/E942-1</v>
      </c>
    </row>
    <row r="944" spans="1:7">
      <c r="A944" s="14">
        <v>44537</v>
      </c>
      <c r="B944" s="11">
        <f>VLOOKUP(A944,[1]HD_price_daily!$A$8:$B$1768,2,0)</f>
        <v>416.18</v>
      </c>
      <c r="C944">
        <f t="shared" si="56"/>
        <v>1.1546788549434694E-3</v>
      </c>
      <c r="D944" s="1" t="str">
        <f t="shared" ca="1" si="57"/>
        <v>=B944/B943-1</v>
      </c>
      <c r="E944" s="8">
        <f>VLOOKUP(A944,'[1]S&amp;P500_DAILY'!$A$8:$B$1768,2,0)</f>
        <v>4686.75</v>
      </c>
      <c r="F944" s="1">
        <f t="shared" si="58"/>
        <v>2.0707063007576743E-2</v>
      </c>
      <c r="G944" s="1" t="str">
        <f t="shared" ca="1" si="59"/>
        <v>=E944/E943-1</v>
      </c>
    </row>
    <row r="945" spans="1:7">
      <c r="A945" s="14">
        <v>44538</v>
      </c>
      <c r="B945" s="11">
        <f>VLOOKUP(A945,[1]HD_price_daily!$A$8:$B$1768,2,0)</f>
        <v>411.25</v>
      </c>
      <c r="C945">
        <f t="shared" si="56"/>
        <v>-1.1845835936373672E-2</v>
      </c>
      <c r="D945" s="1" t="str">
        <f t="shared" ca="1" si="57"/>
        <v>=B945/B944-1</v>
      </c>
      <c r="E945" s="8">
        <f>VLOOKUP(A945,'[1]S&amp;P500_DAILY'!$A$8:$B$1768,2,0)</f>
        <v>4701.21</v>
      </c>
      <c r="F945" s="1">
        <f t="shared" si="58"/>
        <v>3.0852936469836223E-3</v>
      </c>
      <c r="G945" s="1" t="str">
        <f t="shared" ca="1" si="59"/>
        <v>=E945/E944-1</v>
      </c>
    </row>
    <row r="946" spans="1:7">
      <c r="A946" s="14">
        <v>44539</v>
      </c>
      <c r="B946" s="11">
        <f>VLOOKUP(A946,[1]HD_price_daily!$A$8:$B$1768,2,0)</f>
        <v>411.34</v>
      </c>
      <c r="C946">
        <f t="shared" si="56"/>
        <v>2.1884498480240211E-4</v>
      </c>
      <c r="D946" s="1" t="str">
        <f t="shared" ca="1" si="57"/>
        <v>=B946/B945-1</v>
      </c>
      <c r="E946" s="8">
        <f>VLOOKUP(A946,'[1]S&amp;P500_DAILY'!$A$8:$B$1768,2,0)</f>
        <v>4667.45</v>
      </c>
      <c r="F946" s="1">
        <f t="shared" si="58"/>
        <v>-7.1811299644134463E-3</v>
      </c>
      <c r="G946" s="1" t="str">
        <f t="shared" ca="1" si="59"/>
        <v>=E946/E945-1</v>
      </c>
    </row>
    <row r="947" spans="1:7">
      <c r="A947" s="14">
        <v>44540</v>
      </c>
      <c r="B947" s="11">
        <f>VLOOKUP(A947,[1]HD_price_daily!$A$8:$B$1768,2,0)</f>
        <v>415.4</v>
      </c>
      <c r="C947">
        <f t="shared" si="56"/>
        <v>9.8701803860552495E-3</v>
      </c>
      <c r="D947" s="1" t="str">
        <f t="shared" ca="1" si="57"/>
        <v>=B947/B946-1</v>
      </c>
      <c r="E947" s="8">
        <f>VLOOKUP(A947,'[1]S&amp;P500_DAILY'!$A$8:$B$1768,2,0)</f>
        <v>4712.0200000000004</v>
      </c>
      <c r="F947" s="1">
        <f t="shared" si="58"/>
        <v>9.54911139915815E-3</v>
      </c>
      <c r="G947" s="1" t="str">
        <f t="shared" ca="1" si="59"/>
        <v>=E947/E946-1</v>
      </c>
    </row>
    <row r="948" spans="1:7">
      <c r="A948" s="14">
        <v>44543</v>
      </c>
      <c r="B948" s="11">
        <f>VLOOKUP(A948,[1]HD_price_daily!$A$8:$B$1768,2,0)</f>
        <v>405.24</v>
      </c>
      <c r="C948">
        <f t="shared" si="56"/>
        <v>-2.4458353394318677E-2</v>
      </c>
      <c r="D948" s="1" t="str">
        <f t="shared" ca="1" si="57"/>
        <v>=B948/B947-1</v>
      </c>
      <c r="E948" s="8">
        <f>VLOOKUP(A948,'[1]S&amp;P500_DAILY'!$A$8:$B$1768,2,0)</f>
        <v>4668.97</v>
      </c>
      <c r="F948" s="1">
        <f t="shared" si="58"/>
        <v>-9.1362090992822553E-3</v>
      </c>
      <c r="G948" s="1" t="str">
        <f t="shared" ca="1" si="59"/>
        <v>=E948/E947-1</v>
      </c>
    </row>
    <row r="949" spans="1:7">
      <c r="A949" s="14">
        <v>44544</v>
      </c>
      <c r="B949" s="11">
        <f>VLOOKUP(A949,[1]HD_price_daily!$A$8:$B$1768,2,0)</f>
        <v>402.2</v>
      </c>
      <c r="C949">
        <f t="shared" si="56"/>
        <v>-7.5017273714342858E-3</v>
      </c>
      <c r="D949" s="1" t="str">
        <f t="shared" ca="1" si="57"/>
        <v>=B949/B948-1</v>
      </c>
      <c r="E949" s="8">
        <f>VLOOKUP(A949,'[1]S&amp;P500_DAILY'!$A$8:$B$1768,2,0)</f>
        <v>4634.09</v>
      </c>
      <c r="F949" s="1">
        <f t="shared" si="58"/>
        <v>-7.4705984403412584E-3</v>
      </c>
      <c r="G949" s="1" t="str">
        <f t="shared" ca="1" si="59"/>
        <v>=E949/E948-1</v>
      </c>
    </row>
    <row r="950" spans="1:7">
      <c r="A950" s="14">
        <v>44545</v>
      </c>
      <c r="B950" s="11">
        <f>VLOOKUP(A950,[1]HD_price_daily!$A$8:$B$1768,2,0)</f>
        <v>407.81</v>
      </c>
      <c r="C950">
        <f t="shared" si="56"/>
        <v>1.3948284435604252E-2</v>
      </c>
      <c r="D950" s="1" t="str">
        <f t="shared" ca="1" si="57"/>
        <v>=B950/B949-1</v>
      </c>
      <c r="E950" s="8">
        <f>VLOOKUP(A950,'[1]S&amp;P500_DAILY'!$A$8:$B$1768,2,0)</f>
        <v>4709.8500000000004</v>
      </c>
      <c r="F950" s="1">
        <f t="shared" si="58"/>
        <v>1.6348409288555077E-2</v>
      </c>
      <c r="G950" s="1" t="str">
        <f t="shared" ca="1" si="59"/>
        <v>=E950/E949-1</v>
      </c>
    </row>
    <row r="951" spans="1:7">
      <c r="A951" s="14">
        <v>44546</v>
      </c>
      <c r="B951" s="11">
        <f>VLOOKUP(A951,[1]HD_price_daily!$A$8:$B$1768,2,0)</f>
        <v>399.53</v>
      </c>
      <c r="C951">
        <f t="shared" si="56"/>
        <v>-2.0303572742208509E-2</v>
      </c>
      <c r="D951" s="1" t="str">
        <f t="shared" ca="1" si="57"/>
        <v>=B951/B950-1</v>
      </c>
      <c r="E951" s="8">
        <f>VLOOKUP(A951,'[1]S&amp;P500_DAILY'!$A$8:$B$1768,2,0)</f>
        <v>4668.67</v>
      </c>
      <c r="F951" s="1">
        <f t="shared" si="58"/>
        <v>-8.7433782392221104E-3</v>
      </c>
      <c r="G951" s="1" t="str">
        <f t="shared" ca="1" si="59"/>
        <v>=E951/E950-1</v>
      </c>
    </row>
    <row r="952" spans="1:7">
      <c r="A952" s="14">
        <v>44547</v>
      </c>
      <c r="B952" s="11">
        <f>VLOOKUP(A952,[1]HD_price_daily!$A$8:$B$1768,2,0)</f>
        <v>387.98</v>
      </c>
      <c r="C952">
        <f t="shared" si="56"/>
        <v>-2.8908968037443916E-2</v>
      </c>
      <c r="D952" s="1" t="str">
        <f t="shared" ca="1" si="57"/>
        <v>=B952/B951-1</v>
      </c>
      <c r="E952" s="8">
        <f>VLOOKUP(A952,'[1]S&amp;P500_DAILY'!$A$8:$B$1768,2,0)</f>
        <v>4620.6400000000003</v>
      </c>
      <c r="F952" s="1">
        <f t="shared" si="58"/>
        <v>-1.0287726483131143E-2</v>
      </c>
      <c r="G952" s="1" t="str">
        <f t="shared" ca="1" si="59"/>
        <v>=E952/E951-1</v>
      </c>
    </row>
    <row r="953" spans="1:7">
      <c r="A953" s="14">
        <v>44550</v>
      </c>
      <c r="B953" s="11">
        <f>VLOOKUP(A953,[1]HD_price_daily!$A$8:$B$1768,2,0)</f>
        <v>389.4</v>
      </c>
      <c r="C953">
        <f t="shared" si="56"/>
        <v>3.65998247332322E-3</v>
      </c>
      <c r="D953" s="1" t="str">
        <f t="shared" ca="1" si="57"/>
        <v>=B953/B952-1</v>
      </c>
      <c r="E953" s="8">
        <f>VLOOKUP(A953,'[1]S&amp;P500_DAILY'!$A$8:$B$1768,2,0)</f>
        <v>4568.0200000000004</v>
      </c>
      <c r="F953" s="1">
        <f t="shared" si="58"/>
        <v>-1.1388032826621375E-2</v>
      </c>
      <c r="G953" s="1" t="str">
        <f t="shared" ca="1" si="59"/>
        <v>=E953/E952-1</v>
      </c>
    </row>
    <row r="954" spans="1:7">
      <c r="A954" s="14">
        <v>44551</v>
      </c>
      <c r="B954" s="11">
        <f>VLOOKUP(A954,[1]HD_price_daily!$A$8:$B$1768,2,0)</f>
        <v>390.47</v>
      </c>
      <c r="C954">
        <f t="shared" si="56"/>
        <v>2.7478171545969321E-3</v>
      </c>
      <c r="D954" s="1" t="str">
        <f t="shared" ca="1" si="57"/>
        <v>=B954/B953-1</v>
      </c>
      <c r="E954" s="8">
        <f>VLOOKUP(A954,'[1]S&amp;P500_DAILY'!$A$8:$B$1768,2,0)</f>
        <v>4649.2299999999996</v>
      </c>
      <c r="F954" s="1">
        <f t="shared" si="58"/>
        <v>1.7777943178882483E-2</v>
      </c>
      <c r="G954" s="1" t="str">
        <f t="shared" ca="1" si="59"/>
        <v>=E954/E953-1</v>
      </c>
    </row>
    <row r="955" spans="1:7">
      <c r="A955" s="14">
        <v>44552</v>
      </c>
      <c r="B955" s="11">
        <f>VLOOKUP(A955,[1]HD_price_daily!$A$8:$B$1768,2,0)</f>
        <v>395.64</v>
      </c>
      <c r="C955">
        <f t="shared" si="56"/>
        <v>1.3240453812072506E-2</v>
      </c>
      <c r="D955" s="1" t="str">
        <f t="shared" ca="1" si="57"/>
        <v>=B955/B954-1</v>
      </c>
      <c r="E955" s="8">
        <f>VLOOKUP(A955,'[1]S&amp;P500_DAILY'!$A$8:$B$1768,2,0)</f>
        <v>4696.5600000000004</v>
      </c>
      <c r="F955" s="1">
        <f t="shared" si="58"/>
        <v>1.0180180373954517E-2</v>
      </c>
      <c r="G955" s="1" t="str">
        <f t="shared" ca="1" si="59"/>
        <v>=E955/E954-1</v>
      </c>
    </row>
    <row r="956" spans="1:7">
      <c r="A956" s="14">
        <v>44553</v>
      </c>
      <c r="B956" s="11">
        <f>VLOOKUP(A956,[1]HD_price_daily!$A$8:$B$1768,2,0)</f>
        <v>397.07</v>
      </c>
      <c r="C956">
        <f t="shared" si="56"/>
        <v>3.6143969264987863E-3</v>
      </c>
      <c r="D956" s="1" t="str">
        <f t="shared" ca="1" si="57"/>
        <v>=B956/B955-1</v>
      </c>
      <c r="E956" s="8">
        <f>VLOOKUP(A956,'[1]S&amp;P500_DAILY'!$A$8:$B$1768,2,0)</f>
        <v>4725.79</v>
      </c>
      <c r="F956" s="1">
        <f t="shared" si="58"/>
        <v>6.2237041579367158E-3</v>
      </c>
      <c r="G956" s="1" t="str">
        <f t="shared" ca="1" si="59"/>
        <v>=E956/E955-1</v>
      </c>
    </row>
    <row r="957" spans="1:7">
      <c r="A957" s="14">
        <v>44557</v>
      </c>
      <c r="B957" s="11">
        <f>VLOOKUP(A957,[1]HD_price_daily!$A$8:$B$1768,2,0)</f>
        <v>404.09</v>
      </c>
      <c r="C957">
        <f t="shared" si="56"/>
        <v>1.7679502354748466E-2</v>
      </c>
      <c r="D957" s="1" t="str">
        <f t="shared" ca="1" si="57"/>
        <v>=B957/B956-1</v>
      </c>
      <c r="E957" s="8">
        <f>VLOOKUP(A957,'[1]S&amp;P500_DAILY'!$A$8:$B$1768,2,0)</f>
        <v>4791.1899999999996</v>
      </c>
      <c r="F957" s="1">
        <f t="shared" si="58"/>
        <v>1.383895602639984E-2</v>
      </c>
      <c r="G957" s="1" t="str">
        <f t="shared" ca="1" si="59"/>
        <v>=E957/E956-1</v>
      </c>
    </row>
    <row r="958" spans="1:7">
      <c r="A958" s="14">
        <v>44558</v>
      </c>
      <c r="B958" s="11">
        <f>VLOOKUP(A958,[1]HD_price_daily!$A$8:$B$1768,2,0)</f>
        <v>406.22</v>
      </c>
      <c r="C958">
        <f t="shared" si="56"/>
        <v>5.2711029721101976E-3</v>
      </c>
      <c r="D958" s="1" t="str">
        <f t="shared" ca="1" si="57"/>
        <v>=B958/B957-1</v>
      </c>
      <c r="E958" s="8">
        <f>VLOOKUP(A958,'[1]S&amp;P500_DAILY'!$A$8:$B$1768,2,0)</f>
        <v>4786.3500000000004</v>
      </c>
      <c r="F958" s="1">
        <f t="shared" si="58"/>
        <v>-1.0101874482121298E-3</v>
      </c>
      <c r="G958" s="1" t="str">
        <f t="shared" ca="1" si="59"/>
        <v>=E958/E957-1</v>
      </c>
    </row>
    <row r="959" spans="1:7">
      <c r="A959" s="14">
        <v>44559</v>
      </c>
      <c r="B959" s="11">
        <f>VLOOKUP(A959,[1]HD_price_daily!$A$8:$B$1768,2,0)</f>
        <v>410.84</v>
      </c>
      <c r="C959">
        <f t="shared" si="56"/>
        <v>1.1373147555511665E-2</v>
      </c>
      <c r="D959" s="1" t="str">
        <f t="shared" ca="1" si="57"/>
        <v>=B959/B958-1</v>
      </c>
      <c r="E959" s="8">
        <f>VLOOKUP(A959,'[1]S&amp;P500_DAILY'!$A$8:$B$1768,2,0)</f>
        <v>4793.0600000000004</v>
      </c>
      <c r="F959" s="1">
        <f t="shared" si="58"/>
        <v>1.4019033292591576E-3</v>
      </c>
      <c r="G959" s="1" t="str">
        <f t="shared" ca="1" si="59"/>
        <v>=E959/E958-1</v>
      </c>
    </row>
    <row r="960" spans="1:7">
      <c r="A960" s="14">
        <v>44560</v>
      </c>
      <c r="B960" s="11">
        <f>VLOOKUP(A960,[1]HD_price_daily!$A$8:$B$1768,2,0)</f>
        <v>409.94</v>
      </c>
      <c r="C960">
        <f t="shared" si="56"/>
        <v>-2.1906338233861344E-3</v>
      </c>
      <c r="D960" s="1" t="str">
        <f t="shared" ca="1" si="57"/>
        <v>=B960/B959-1</v>
      </c>
      <c r="E960" s="8">
        <f>VLOOKUP(A960,'[1]S&amp;P500_DAILY'!$A$8:$B$1768,2,0)</f>
        <v>4778.7299999999996</v>
      </c>
      <c r="F960" s="1">
        <f t="shared" si="58"/>
        <v>-2.9897393314501919E-3</v>
      </c>
      <c r="G960" s="1" t="str">
        <f t="shared" ca="1" si="59"/>
        <v>=E960/E959-1</v>
      </c>
    </row>
    <row r="961" spans="1:7">
      <c r="A961" s="14">
        <v>44561</v>
      </c>
      <c r="B961" s="11">
        <f>VLOOKUP(A961,[1]HD_price_daily!$A$8:$B$1768,2,0)</f>
        <v>415.01</v>
      </c>
      <c r="C961">
        <f t="shared" si="56"/>
        <v>1.2367663560520992E-2</v>
      </c>
      <c r="D961" s="1" t="str">
        <f t="shared" ca="1" si="57"/>
        <v>=B961/B960-1</v>
      </c>
      <c r="E961" s="8">
        <f>VLOOKUP(A961,'[1]S&amp;P500_DAILY'!$A$8:$B$1768,2,0)</f>
        <v>4766.18</v>
      </c>
      <c r="F961" s="1">
        <f t="shared" si="58"/>
        <v>-2.6262207741385435E-3</v>
      </c>
      <c r="G961" s="1" t="str">
        <f t="shared" ca="1" si="59"/>
        <v>=E961/E960-1</v>
      </c>
    </row>
    <row r="962" spans="1:7">
      <c r="A962" s="14">
        <v>44564</v>
      </c>
      <c r="B962" s="11">
        <f>VLOOKUP(A962,[1]HD_price_daily!$A$8:$B$1768,2,0)</f>
        <v>408.64</v>
      </c>
      <c r="C962">
        <f t="shared" si="56"/>
        <v>-1.5349027734271492E-2</v>
      </c>
      <c r="D962" s="1" t="str">
        <f t="shared" ca="1" si="57"/>
        <v>=B962/B961-1</v>
      </c>
      <c r="E962" s="8">
        <f>VLOOKUP(A962,'[1]S&amp;P500_DAILY'!$A$8:$B$1768,2,0)</f>
        <v>4796.5600000000004</v>
      </c>
      <c r="F962" s="1">
        <f t="shared" si="58"/>
        <v>6.3740773533522699E-3</v>
      </c>
      <c r="G962" s="1" t="str">
        <f t="shared" ca="1" si="59"/>
        <v>=E962/E961-1</v>
      </c>
    </row>
    <row r="963" spans="1:7">
      <c r="A963" s="14">
        <v>44565</v>
      </c>
      <c r="B963" s="11">
        <f>VLOOKUP(A963,[1]HD_price_daily!$A$8:$B$1768,2,0)</f>
        <v>412.84</v>
      </c>
      <c r="C963">
        <f t="shared" si="56"/>
        <v>1.0277995301487763E-2</v>
      </c>
      <c r="D963" s="1" t="str">
        <f t="shared" ca="1" si="57"/>
        <v>=B963/B962-1</v>
      </c>
      <c r="E963" s="8">
        <f>VLOOKUP(A963,'[1]S&amp;P500_DAILY'!$A$8:$B$1768,2,0)</f>
        <v>4793.54</v>
      </c>
      <c r="F963" s="1">
        <f t="shared" si="58"/>
        <v>-6.29617892823231E-4</v>
      </c>
      <c r="G963" s="1" t="str">
        <f t="shared" ca="1" si="59"/>
        <v>=E963/E962-1</v>
      </c>
    </row>
    <row r="964" spans="1:7">
      <c r="A964" s="14">
        <v>44566</v>
      </c>
      <c r="B964" s="11">
        <f>VLOOKUP(A964,[1]HD_price_daily!$A$8:$B$1768,2,0)</f>
        <v>407.24</v>
      </c>
      <c r="C964">
        <f t="shared" ref="C964:C1027" si="60">B964/B963-1</f>
        <v>-1.356457707586467E-2</v>
      </c>
      <c r="D964" s="1" t="str">
        <f t="shared" ref="D964:D1027" ca="1" si="61">_xlfn.FORMULATEXT(C964)</f>
        <v>=B964/B963-1</v>
      </c>
      <c r="E964" s="8">
        <f>VLOOKUP(A964,'[1]S&amp;P500_DAILY'!$A$8:$B$1768,2,0)</f>
        <v>4700.58</v>
      </c>
      <c r="F964" s="1">
        <f t="shared" ref="F964:F1027" si="62">E964/E963-1</f>
        <v>-1.939276609770646E-2</v>
      </c>
      <c r="G964" s="1" t="str">
        <f t="shared" ref="G964:G1027" ca="1" si="63">_xlfn.FORMULATEXT(F964)</f>
        <v>=E964/E963-1</v>
      </c>
    </row>
    <row r="965" spans="1:7">
      <c r="A965" s="14">
        <v>44567</v>
      </c>
      <c r="B965" s="11">
        <f>VLOOKUP(A965,[1]HD_price_daily!$A$8:$B$1768,2,0)</f>
        <v>405.76</v>
      </c>
      <c r="C965">
        <f t="shared" si="60"/>
        <v>-3.6342206070131278E-3</v>
      </c>
      <c r="D965" s="1" t="str">
        <f t="shared" ca="1" si="61"/>
        <v>=B965/B964-1</v>
      </c>
      <c r="E965" s="8">
        <f>VLOOKUP(A965,'[1]S&amp;P500_DAILY'!$A$8:$B$1768,2,0)</f>
        <v>4696.05</v>
      </c>
      <c r="F965" s="1">
        <f t="shared" si="62"/>
        <v>-9.6371086121282978E-4</v>
      </c>
      <c r="G965" s="1" t="str">
        <f t="shared" ca="1" si="63"/>
        <v>=E965/E964-1</v>
      </c>
    </row>
    <row r="966" spans="1:7">
      <c r="A966" s="14">
        <v>44568</v>
      </c>
      <c r="B966" s="11">
        <f>VLOOKUP(A966,[1]HD_price_daily!$A$8:$B$1768,2,0)</f>
        <v>393.61</v>
      </c>
      <c r="C966">
        <f t="shared" si="60"/>
        <v>-2.9943809148264888E-2</v>
      </c>
      <c r="D966" s="1" t="str">
        <f t="shared" ca="1" si="61"/>
        <v>=B966/B965-1</v>
      </c>
      <c r="E966" s="8">
        <f>VLOOKUP(A966,'[1]S&amp;P500_DAILY'!$A$8:$B$1768,2,0)</f>
        <v>4677.03</v>
      </c>
      <c r="F966" s="1">
        <f t="shared" si="62"/>
        <v>-4.0502124125595396E-3</v>
      </c>
      <c r="G966" s="1" t="str">
        <f t="shared" ca="1" si="63"/>
        <v>=E966/E965-1</v>
      </c>
    </row>
    <row r="967" spans="1:7">
      <c r="A967" s="14">
        <v>44571</v>
      </c>
      <c r="B967" s="11">
        <f>VLOOKUP(A967,[1]HD_price_daily!$A$8:$B$1768,2,0)</f>
        <v>387.46</v>
      </c>
      <c r="C967">
        <f t="shared" si="60"/>
        <v>-1.5624603033459583E-2</v>
      </c>
      <c r="D967" s="1" t="str">
        <f t="shared" ca="1" si="61"/>
        <v>=B967/B966-1</v>
      </c>
      <c r="E967" s="8">
        <f>VLOOKUP(A967,'[1]S&amp;P500_DAILY'!$A$8:$B$1768,2,0)</f>
        <v>4670.29</v>
      </c>
      <c r="F967" s="1">
        <f t="shared" si="62"/>
        <v>-1.4410854751839564E-3</v>
      </c>
      <c r="G967" s="1" t="str">
        <f t="shared" ca="1" si="63"/>
        <v>=E967/E966-1</v>
      </c>
    </row>
    <row r="968" spans="1:7">
      <c r="A968" s="14">
        <v>44572</v>
      </c>
      <c r="B968" s="11">
        <f>VLOOKUP(A968,[1]HD_price_daily!$A$8:$B$1768,2,0)</f>
        <v>386.67</v>
      </c>
      <c r="C968">
        <f t="shared" si="60"/>
        <v>-2.0389201465956797E-3</v>
      </c>
      <c r="D968" s="1" t="str">
        <f t="shared" ca="1" si="61"/>
        <v>=B968/B967-1</v>
      </c>
      <c r="E968" s="8">
        <f>VLOOKUP(A968,'[1]S&amp;P500_DAILY'!$A$8:$B$1768,2,0)</f>
        <v>4713.07</v>
      </c>
      <c r="F968" s="1">
        <f t="shared" si="62"/>
        <v>9.1600307475552256E-3</v>
      </c>
      <c r="G968" s="1" t="str">
        <f t="shared" ca="1" si="63"/>
        <v>=E968/E967-1</v>
      </c>
    </row>
    <row r="969" spans="1:7">
      <c r="A969" s="14">
        <v>44573</v>
      </c>
      <c r="B969" s="11">
        <f>VLOOKUP(A969,[1]HD_price_daily!$A$8:$B$1768,2,0)</f>
        <v>389.4</v>
      </c>
      <c r="C969">
        <f t="shared" si="60"/>
        <v>7.060283963069125E-3</v>
      </c>
      <c r="D969" s="1" t="str">
        <f t="shared" ca="1" si="61"/>
        <v>=B969/B968-1</v>
      </c>
      <c r="E969" s="8">
        <f>VLOOKUP(A969,'[1]S&amp;P500_DAILY'!$A$8:$B$1768,2,0)</f>
        <v>4726.3500000000004</v>
      </c>
      <c r="F969" s="1">
        <f t="shared" si="62"/>
        <v>2.8176963210817529E-3</v>
      </c>
      <c r="G969" s="1" t="str">
        <f t="shared" ca="1" si="63"/>
        <v>=E969/E968-1</v>
      </c>
    </row>
    <row r="970" spans="1:7">
      <c r="A970" s="14">
        <v>44574</v>
      </c>
      <c r="B970" s="11">
        <f>VLOOKUP(A970,[1]HD_price_daily!$A$8:$B$1768,2,0)</f>
        <v>386.98</v>
      </c>
      <c r="C970">
        <f t="shared" si="60"/>
        <v>-6.2146892655365882E-3</v>
      </c>
      <c r="D970" s="1" t="str">
        <f t="shared" ca="1" si="61"/>
        <v>=B970/B969-1</v>
      </c>
      <c r="E970" s="8">
        <f>VLOOKUP(A970,'[1]S&amp;P500_DAILY'!$A$8:$B$1768,2,0)</f>
        <v>4659.03</v>
      </c>
      <c r="F970" s="1">
        <f t="shared" si="62"/>
        <v>-1.4243549462058636E-2</v>
      </c>
      <c r="G970" s="1" t="str">
        <f t="shared" ca="1" si="63"/>
        <v>=E970/E969-1</v>
      </c>
    </row>
    <row r="971" spans="1:7">
      <c r="A971" s="14">
        <v>44575</v>
      </c>
      <c r="B971" s="11">
        <f>VLOOKUP(A971,[1]HD_price_daily!$A$8:$B$1768,2,0)</f>
        <v>372</v>
      </c>
      <c r="C971">
        <f t="shared" si="60"/>
        <v>-3.8710010853274079E-2</v>
      </c>
      <c r="D971" s="1" t="str">
        <f t="shared" ca="1" si="61"/>
        <v>=B971/B970-1</v>
      </c>
      <c r="E971" s="8">
        <f>VLOOKUP(A971,'[1]S&amp;P500_DAILY'!$A$8:$B$1768,2,0)</f>
        <v>4662.8500000000004</v>
      </c>
      <c r="F971" s="1">
        <f t="shared" si="62"/>
        <v>8.1991315788920716E-4</v>
      </c>
      <c r="G971" s="1" t="str">
        <f t="shared" ca="1" si="63"/>
        <v>=E971/E970-1</v>
      </c>
    </row>
    <row r="972" spans="1:7">
      <c r="A972" s="14">
        <v>44579</v>
      </c>
      <c r="B972" s="11">
        <f>VLOOKUP(A972,[1]HD_price_daily!$A$8:$B$1768,2,0)</f>
        <v>366.72</v>
      </c>
      <c r="C972">
        <f t="shared" si="60"/>
        <v>-1.4193548387096744E-2</v>
      </c>
      <c r="D972" s="1" t="str">
        <f t="shared" ca="1" si="61"/>
        <v>=B972/B971-1</v>
      </c>
      <c r="E972" s="8">
        <f>VLOOKUP(A972,'[1]S&amp;P500_DAILY'!$A$8:$B$1768,2,0)</f>
        <v>4577.1099999999997</v>
      </c>
      <c r="F972" s="1">
        <f t="shared" si="62"/>
        <v>-1.8387895814791499E-2</v>
      </c>
      <c r="G972" s="1" t="str">
        <f t="shared" ca="1" si="63"/>
        <v>=E972/E971-1</v>
      </c>
    </row>
    <row r="973" spans="1:7">
      <c r="A973" s="14">
        <v>44580</v>
      </c>
      <c r="B973" s="11">
        <f>VLOOKUP(A973,[1]HD_price_daily!$A$8:$B$1768,2,0)</f>
        <v>359.69</v>
      </c>
      <c r="C973">
        <f t="shared" si="60"/>
        <v>-1.9169938917975693E-2</v>
      </c>
      <c r="D973" s="1" t="str">
        <f t="shared" ca="1" si="61"/>
        <v>=B973/B972-1</v>
      </c>
      <c r="E973" s="8">
        <f>VLOOKUP(A973,'[1]S&amp;P500_DAILY'!$A$8:$B$1768,2,0)</f>
        <v>4532.76</v>
      </c>
      <c r="F973" s="1">
        <f t="shared" si="62"/>
        <v>-9.6895202431227512E-3</v>
      </c>
      <c r="G973" s="1" t="str">
        <f t="shared" ca="1" si="63"/>
        <v>=E973/E972-1</v>
      </c>
    </row>
    <row r="974" spans="1:7">
      <c r="A974" s="14">
        <v>44581</v>
      </c>
      <c r="B974" s="11">
        <f>VLOOKUP(A974,[1]HD_price_daily!$A$8:$B$1768,2,0)</f>
        <v>349.58</v>
      </c>
      <c r="C974">
        <f t="shared" si="60"/>
        <v>-2.8107537045789499E-2</v>
      </c>
      <c r="D974" s="1" t="str">
        <f t="shared" ca="1" si="61"/>
        <v>=B974/B973-1</v>
      </c>
      <c r="E974" s="8">
        <f>VLOOKUP(A974,'[1]S&amp;P500_DAILY'!$A$8:$B$1768,2,0)</f>
        <v>4482.7299999999996</v>
      </c>
      <c r="F974" s="1">
        <f t="shared" si="62"/>
        <v>-1.103742532143781E-2</v>
      </c>
      <c r="G974" s="1" t="str">
        <f t="shared" ca="1" si="63"/>
        <v>=E974/E973-1</v>
      </c>
    </row>
    <row r="975" spans="1:7">
      <c r="A975" s="14">
        <v>44582</v>
      </c>
      <c r="B975" s="11">
        <f>VLOOKUP(A975,[1]HD_price_daily!$A$8:$B$1768,2,0)</f>
        <v>349.1</v>
      </c>
      <c r="C975">
        <f t="shared" si="60"/>
        <v>-1.3730762629440285E-3</v>
      </c>
      <c r="D975" s="1" t="str">
        <f t="shared" ca="1" si="61"/>
        <v>=B975/B974-1</v>
      </c>
      <c r="E975" s="8">
        <f>VLOOKUP(A975,'[1]S&amp;P500_DAILY'!$A$8:$B$1768,2,0)</f>
        <v>4397.9399999999996</v>
      </c>
      <c r="F975" s="1">
        <f t="shared" si="62"/>
        <v>-1.8914813071498782E-2</v>
      </c>
      <c r="G975" s="1" t="str">
        <f t="shared" ca="1" si="63"/>
        <v>=E975/E974-1</v>
      </c>
    </row>
    <row r="976" spans="1:7">
      <c r="A976" s="14">
        <v>44585</v>
      </c>
      <c r="B976" s="11">
        <f>VLOOKUP(A976,[1]HD_price_daily!$A$8:$B$1768,2,0)</f>
        <v>363.81</v>
      </c>
      <c r="C976">
        <f t="shared" si="60"/>
        <v>4.2136923517616776E-2</v>
      </c>
      <c r="D976" s="1" t="str">
        <f t="shared" ca="1" si="61"/>
        <v>=B976/B975-1</v>
      </c>
      <c r="E976" s="8">
        <f>VLOOKUP(A976,'[1]S&amp;P500_DAILY'!$A$8:$B$1768,2,0)</f>
        <v>4410.13</v>
      </c>
      <c r="F976" s="1">
        <f t="shared" si="62"/>
        <v>2.7717522294530283E-3</v>
      </c>
      <c r="G976" s="1" t="str">
        <f t="shared" ca="1" si="63"/>
        <v>=E976/E975-1</v>
      </c>
    </row>
    <row r="977" spans="1:7">
      <c r="A977" s="14">
        <v>44586</v>
      </c>
      <c r="B977" s="11">
        <f>VLOOKUP(A977,[1]HD_price_daily!$A$8:$B$1768,2,0)</f>
        <v>358.98</v>
      </c>
      <c r="C977">
        <f t="shared" si="60"/>
        <v>-1.3276160633297507E-2</v>
      </c>
      <c r="D977" s="1" t="str">
        <f t="shared" ca="1" si="61"/>
        <v>=B977/B976-1</v>
      </c>
      <c r="E977" s="8">
        <f>VLOOKUP(A977,'[1]S&amp;P500_DAILY'!$A$8:$B$1768,2,0)</f>
        <v>4356.45</v>
      </c>
      <c r="F977" s="1">
        <f t="shared" si="62"/>
        <v>-1.2171976789799865E-2</v>
      </c>
      <c r="G977" s="1" t="str">
        <f t="shared" ca="1" si="63"/>
        <v>=E977/E976-1</v>
      </c>
    </row>
    <row r="978" spans="1:7">
      <c r="A978" s="14">
        <v>44587</v>
      </c>
      <c r="B978" s="11">
        <f>VLOOKUP(A978,[1]HD_price_daily!$A$8:$B$1768,2,0)</f>
        <v>357.28</v>
      </c>
      <c r="C978">
        <f t="shared" si="60"/>
        <v>-4.7356398685164391E-3</v>
      </c>
      <c r="D978" s="1" t="str">
        <f t="shared" ca="1" si="61"/>
        <v>=B978/B977-1</v>
      </c>
      <c r="E978" s="8">
        <f>VLOOKUP(A978,'[1]S&amp;P500_DAILY'!$A$8:$B$1768,2,0)</f>
        <v>4349.93</v>
      </c>
      <c r="F978" s="1">
        <f t="shared" si="62"/>
        <v>-1.4966314315554285E-3</v>
      </c>
      <c r="G978" s="1" t="str">
        <f t="shared" ca="1" si="63"/>
        <v>=E978/E977-1</v>
      </c>
    </row>
    <row r="979" spans="1:7">
      <c r="A979" s="14">
        <v>44588</v>
      </c>
      <c r="B979" s="11">
        <f>VLOOKUP(A979,[1]HD_price_daily!$A$8:$B$1768,2,0)</f>
        <v>356.43</v>
      </c>
      <c r="C979">
        <f t="shared" si="60"/>
        <v>-2.3790864308105286E-3</v>
      </c>
      <c r="D979" s="1" t="str">
        <f t="shared" ca="1" si="61"/>
        <v>=B979/B978-1</v>
      </c>
      <c r="E979" s="8">
        <f>VLOOKUP(A979,'[1]S&amp;P500_DAILY'!$A$8:$B$1768,2,0)</f>
        <v>4326.51</v>
      </c>
      <c r="F979" s="1">
        <f t="shared" si="62"/>
        <v>-5.3839946849719711E-3</v>
      </c>
      <c r="G979" s="1" t="str">
        <f t="shared" ca="1" si="63"/>
        <v>=E979/E978-1</v>
      </c>
    </row>
    <row r="980" spans="1:7">
      <c r="A980" s="14">
        <v>44589</v>
      </c>
      <c r="B980" s="11">
        <f>VLOOKUP(A980,[1]HD_price_daily!$A$8:$B$1768,2,0)</f>
        <v>366.54</v>
      </c>
      <c r="C980">
        <f t="shared" si="60"/>
        <v>2.8364615773083024E-2</v>
      </c>
      <c r="D980" s="1" t="str">
        <f t="shared" ca="1" si="61"/>
        <v>=B980/B979-1</v>
      </c>
      <c r="E980" s="8">
        <f>VLOOKUP(A980,'[1]S&amp;P500_DAILY'!$A$8:$B$1768,2,0)</f>
        <v>4431.8500000000004</v>
      </c>
      <c r="F980" s="1">
        <f t="shared" si="62"/>
        <v>2.4347568825681787E-2</v>
      </c>
      <c r="G980" s="1" t="str">
        <f t="shared" ca="1" si="63"/>
        <v>=E980/E979-1</v>
      </c>
    </row>
    <row r="981" spans="1:7">
      <c r="A981" s="14">
        <v>44592</v>
      </c>
      <c r="B981" s="11">
        <f>VLOOKUP(A981,[1]HD_price_daily!$A$8:$B$1768,2,0)</f>
        <v>366.98</v>
      </c>
      <c r="C981">
        <f t="shared" si="60"/>
        <v>1.2004146887105716E-3</v>
      </c>
      <c r="D981" s="1" t="str">
        <f t="shared" ca="1" si="61"/>
        <v>=B981/B980-1</v>
      </c>
      <c r="E981" s="8">
        <f>VLOOKUP(A981,'[1]S&amp;P500_DAILY'!$A$8:$B$1768,2,0)</f>
        <v>4515.55</v>
      </c>
      <c r="F981" s="1">
        <f t="shared" si="62"/>
        <v>1.8886018254227865E-2</v>
      </c>
      <c r="G981" s="1" t="str">
        <f t="shared" ca="1" si="63"/>
        <v>=E981/E980-1</v>
      </c>
    </row>
    <row r="982" spans="1:7">
      <c r="A982" s="14">
        <v>44593</v>
      </c>
      <c r="B982" s="11">
        <f>VLOOKUP(A982,[1]HD_price_daily!$A$8:$B$1768,2,0)</f>
        <v>368.7</v>
      </c>
      <c r="C982">
        <f t="shared" si="60"/>
        <v>4.6869039184695982E-3</v>
      </c>
      <c r="D982" s="1" t="str">
        <f t="shared" ca="1" si="61"/>
        <v>=B982/B981-1</v>
      </c>
      <c r="E982" s="8">
        <f>VLOOKUP(A982,'[1]S&amp;P500_DAILY'!$A$8:$B$1768,2,0)</f>
        <v>4546.54</v>
      </c>
      <c r="F982" s="1">
        <f t="shared" si="62"/>
        <v>6.8629513569775646E-3</v>
      </c>
      <c r="G982" s="1" t="str">
        <f t="shared" ca="1" si="63"/>
        <v>=E982/E981-1</v>
      </c>
    </row>
    <row r="983" spans="1:7">
      <c r="A983" s="14">
        <v>44594</v>
      </c>
      <c r="B983" s="11">
        <f>VLOOKUP(A983,[1]HD_price_daily!$A$8:$B$1768,2,0)</f>
        <v>373.73</v>
      </c>
      <c r="C983">
        <f t="shared" si="60"/>
        <v>1.3642527800379778E-2</v>
      </c>
      <c r="D983" s="1" t="str">
        <f t="shared" ca="1" si="61"/>
        <v>=B983/B982-1</v>
      </c>
      <c r="E983" s="8">
        <f>VLOOKUP(A983,'[1]S&amp;P500_DAILY'!$A$8:$B$1768,2,0)</f>
        <v>4589.38</v>
      </c>
      <c r="F983" s="1">
        <f t="shared" si="62"/>
        <v>9.4225498950850639E-3</v>
      </c>
      <c r="G983" s="1" t="str">
        <f t="shared" ca="1" si="63"/>
        <v>=E983/E982-1</v>
      </c>
    </row>
    <row r="984" spans="1:7">
      <c r="A984" s="14">
        <v>44595</v>
      </c>
      <c r="B984" s="11">
        <f>VLOOKUP(A984,[1]HD_price_daily!$A$8:$B$1768,2,0)</f>
        <v>364.81</v>
      </c>
      <c r="C984">
        <f t="shared" si="60"/>
        <v>-2.3867497926310488E-2</v>
      </c>
      <c r="D984" s="1" t="str">
        <f t="shared" ca="1" si="61"/>
        <v>=B984/B983-1</v>
      </c>
      <c r="E984" s="8">
        <f>VLOOKUP(A984,'[1]S&amp;P500_DAILY'!$A$8:$B$1768,2,0)</f>
        <v>4477.4399999999996</v>
      </c>
      <c r="F984" s="1">
        <f t="shared" si="62"/>
        <v>-2.4391094221877574E-2</v>
      </c>
      <c r="G984" s="1" t="str">
        <f t="shared" ca="1" si="63"/>
        <v>=E984/E983-1</v>
      </c>
    </row>
    <row r="985" spans="1:7">
      <c r="A985" s="14">
        <v>44596</v>
      </c>
      <c r="B985" s="11">
        <f>VLOOKUP(A985,[1]HD_price_daily!$A$8:$B$1768,2,0)</f>
        <v>359.67</v>
      </c>
      <c r="C985">
        <f t="shared" si="60"/>
        <v>-1.4089526054658519E-2</v>
      </c>
      <c r="D985" s="1" t="str">
        <f t="shared" ca="1" si="61"/>
        <v>=B985/B984-1</v>
      </c>
      <c r="E985" s="8">
        <f>VLOOKUP(A985,'[1]S&amp;P500_DAILY'!$A$8:$B$1768,2,0)</f>
        <v>4500.53</v>
      </c>
      <c r="F985" s="1">
        <f t="shared" si="62"/>
        <v>5.156964694110977E-3</v>
      </c>
      <c r="G985" s="1" t="str">
        <f t="shared" ca="1" si="63"/>
        <v>=E985/E984-1</v>
      </c>
    </row>
    <row r="986" spans="1:7">
      <c r="A986" s="14">
        <v>44599</v>
      </c>
      <c r="B986" s="11">
        <f>VLOOKUP(A986,[1]HD_price_daily!$A$8:$B$1768,2,0)</f>
        <v>357.35</v>
      </c>
      <c r="C986">
        <f t="shared" si="60"/>
        <v>-6.4503572719436519E-3</v>
      </c>
      <c r="D986" s="1" t="str">
        <f t="shared" ca="1" si="61"/>
        <v>=B986/B985-1</v>
      </c>
      <c r="E986" s="8">
        <f>VLOOKUP(A986,'[1]S&amp;P500_DAILY'!$A$8:$B$1768,2,0)</f>
        <v>4483.87</v>
      </c>
      <c r="F986" s="1">
        <f t="shared" si="62"/>
        <v>-3.701786234065696E-3</v>
      </c>
      <c r="G986" s="1" t="str">
        <f t="shared" ca="1" si="63"/>
        <v>=E986/E985-1</v>
      </c>
    </row>
    <row r="987" spans="1:7">
      <c r="A987" s="14">
        <v>44600</v>
      </c>
      <c r="B987" s="11">
        <f>VLOOKUP(A987,[1]HD_price_daily!$A$8:$B$1768,2,0)</f>
        <v>361.44</v>
      </c>
      <c r="C987">
        <f t="shared" si="60"/>
        <v>1.1445361690219702E-2</v>
      </c>
      <c r="D987" s="1" t="str">
        <f t="shared" ca="1" si="61"/>
        <v>=B987/B986-1</v>
      </c>
      <c r="E987" s="8">
        <f>VLOOKUP(A987,'[1]S&amp;P500_DAILY'!$A$8:$B$1768,2,0)</f>
        <v>4521.54</v>
      </c>
      <c r="F987" s="1">
        <f t="shared" si="62"/>
        <v>8.4012248347966612E-3</v>
      </c>
      <c r="G987" s="1" t="str">
        <f t="shared" ca="1" si="63"/>
        <v>=E987/E986-1</v>
      </c>
    </row>
    <row r="988" spans="1:7">
      <c r="A988" s="14">
        <v>44601</v>
      </c>
      <c r="B988" s="11">
        <f>VLOOKUP(A988,[1]HD_price_daily!$A$8:$B$1768,2,0)</f>
        <v>364.37</v>
      </c>
      <c r="C988">
        <f t="shared" si="60"/>
        <v>8.1064630367420065E-3</v>
      </c>
      <c r="D988" s="1" t="str">
        <f t="shared" ca="1" si="61"/>
        <v>=B988/B987-1</v>
      </c>
      <c r="E988" s="8">
        <f>VLOOKUP(A988,'[1]S&amp;P500_DAILY'!$A$8:$B$1768,2,0)</f>
        <v>4587.18</v>
      </c>
      <c r="F988" s="1">
        <f t="shared" si="62"/>
        <v>1.4517177775713597E-2</v>
      </c>
      <c r="G988" s="1" t="str">
        <f t="shared" ca="1" si="63"/>
        <v>=E988/E987-1</v>
      </c>
    </row>
    <row r="989" spans="1:7">
      <c r="A989" s="14">
        <v>44602</v>
      </c>
      <c r="B989" s="11">
        <f>VLOOKUP(A989,[1]HD_price_daily!$A$8:$B$1768,2,0)</f>
        <v>355.09</v>
      </c>
      <c r="C989">
        <f t="shared" si="60"/>
        <v>-2.5468617065071308E-2</v>
      </c>
      <c r="D989" s="1" t="str">
        <f t="shared" ca="1" si="61"/>
        <v>=B989/B988-1</v>
      </c>
      <c r="E989" s="8">
        <f>VLOOKUP(A989,'[1]S&amp;P500_DAILY'!$A$8:$B$1768,2,0)</f>
        <v>4504.08</v>
      </c>
      <c r="F989" s="1">
        <f t="shared" si="62"/>
        <v>-1.8115705073705524E-2</v>
      </c>
      <c r="G989" s="1" t="str">
        <f t="shared" ca="1" si="63"/>
        <v>=E989/E988-1</v>
      </c>
    </row>
    <row r="990" spans="1:7">
      <c r="A990" s="14">
        <v>44603</v>
      </c>
      <c r="B990" s="11">
        <f>VLOOKUP(A990,[1]HD_price_daily!$A$8:$B$1768,2,0)</f>
        <v>350.29</v>
      </c>
      <c r="C990">
        <f t="shared" si="60"/>
        <v>-1.3517699738094469E-2</v>
      </c>
      <c r="D990" s="1" t="str">
        <f t="shared" ca="1" si="61"/>
        <v>=B990/B989-1</v>
      </c>
      <c r="E990" s="8">
        <f>VLOOKUP(A990,'[1]S&amp;P500_DAILY'!$A$8:$B$1768,2,0)</f>
        <v>4418.6400000000003</v>
      </c>
      <c r="F990" s="1">
        <f t="shared" si="62"/>
        <v>-1.89694676826343E-2</v>
      </c>
      <c r="G990" s="1" t="str">
        <f t="shared" ca="1" si="63"/>
        <v>=E990/E989-1</v>
      </c>
    </row>
    <row r="991" spans="1:7">
      <c r="A991" s="14">
        <v>44606</v>
      </c>
      <c r="B991" s="11">
        <f>VLOOKUP(A991,[1]HD_price_daily!$A$8:$B$1768,2,0)</f>
        <v>351.56</v>
      </c>
      <c r="C991">
        <f t="shared" si="60"/>
        <v>3.6255673870220217E-3</v>
      </c>
      <c r="D991" s="1" t="str">
        <f t="shared" ca="1" si="61"/>
        <v>=B991/B990-1</v>
      </c>
      <c r="E991" s="8">
        <f>VLOOKUP(A991,'[1]S&amp;P500_DAILY'!$A$8:$B$1768,2,0)</f>
        <v>4401.67</v>
      </c>
      <c r="F991" s="1">
        <f t="shared" si="62"/>
        <v>-3.8405482229827426E-3</v>
      </c>
      <c r="G991" s="1" t="str">
        <f t="shared" ca="1" si="63"/>
        <v>=E991/E990-1</v>
      </c>
    </row>
    <row r="992" spans="1:7">
      <c r="A992" s="14">
        <v>44607</v>
      </c>
      <c r="B992" s="11">
        <f>VLOOKUP(A992,[1]HD_price_daily!$A$8:$B$1768,2,0)</f>
        <v>353.26</v>
      </c>
      <c r="C992">
        <f t="shared" si="60"/>
        <v>4.8355899419729731E-3</v>
      </c>
      <c r="D992" s="1" t="str">
        <f t="shared" ca="1" si="61"/>
        <v>=B992/B991-1</v>
      </c>
      <c r="E992" s="8">
        <f>VLOOKUP(A992,'[1]S&amp;P500_DAILY'!$A$8:$B$1768,2,0)</f>
        <v>4471.07</v>
      </c>
      <c r="F992" s="1">
        <f t="shared" si="62"/>
        <v>1.5766743077059386E-2</v>
      </c>
      <c r="G992" s="1" t="str">
        <f t="shared" ca="1" si="63"/>
        <v>=E992/E991-1</v>
      </c>
    </row>
    <row r="993" spans="1:7">
      <c r="A993" s="14">
        <v>44608</v>
      </c>
      <c r="B993" s="11">
        <f>VLOOKUP(A993,[1]HD_price_daily!$A$8:$B$1768,2,0)</f>
        <v>350.09</v>
      </c>
      <c r="C993">
        <f t="shared" si="60"/>
        <v>-8.9735605503029614E-3</v>
      </c>
      <c r="D993" s="1" t="str">
        <f t="shared" ca="1" si="61"/>
        <v>=B993/B992-1</v>
      </c>
      <c r="E993" s="8">
        <f>VLOOKUP(A993,'[1]S&amp;P500_DAILY'!$A$8:$B$1768,2,0)</f>
        <v>4475.01</v>
      </c>
      <c r="F993" s="1">
        <f t="shared" si="62"/>
        <v>8.8122082633468324E-4</v>
      </c>
      <c r="G993" s="1" t="str">
        <f t="shared" ca="1" si="63"/>
        <v>=E993/E992-1</v>
      </c>
    </row>
    <row r="994" spans="1:7">
      <c r="A994" s="14">
        <v>44609</v>
      </c>
      <c r="B994" s="11">
        <f>VLOOKUP(A994,[1]HD_price_daily!$A$8:$B$1768,2,0)</f>
        <v>347.94</v>
      </c>
      <c r="C994">
        <f t="shared" si="60"/>
        <v>-6.1412779570967357E-3</v>
      </c>
      <c r="D994" s="1" t="str">
        <f t="shared" ca="1" si="61"/>
        <v>=B994/B993-1</v>
      </c>
      <c r="E994" s="8">
        <f>VLOOKUP(A994,'[1]S&amp;P500_DAILY'!$A$8:$B$1768,2,0)</f>
        <v>4380.26</v>
      </c>
      <c r="F994" s="1">
        <f t="shared" si="62"/>
        <v>-2.1173137043269175E-2</v>
      </c>
      <c r="G994" s="1" t="str">
        <f t="shared" ca="1" si="63"/>
        <v>=E994/E993-1</v>
      </c>
    </row>
    <row r="995" spans="1:7">
      <c r="A995" s="14">
        <v>44610</v>
      </c>
      <c r="B995" s="11">
        <f>VLOOKUP(A995,[1]HD_price_daily!$A$8:$B$1768,2,0)</f>
        <v>346.87</v>
      </c>
      <c r="C995">
        <f t="shared" si="60"/>
        <v>-3.0752428579640112E-3</v>
      </c>
      <c r="D995" s="1" t="str">
        <f t="shared" ca="1" si="61"/>
        <v>=B995/B994-1</v>
      </c>
      <c r="E995" s="8">
        <f>VLOOKUP(A995,'[1]S&amp;P500_DAILY'!$A$8:$B$1768,2,0)</f>
        <v>4348.87</v>
      </c>
      <c r="F995" s="1">
        <f t="shared" si="62"/>
        <v>-7.1662412733491943E-3</v>
      </c>
      <c r="G995" s="1" t="str">
        <f t="shared" ca="1" si="63"/>
        <v>=E995/E994-1</v>
      </c>
    </row>
    <row r="996" spans="1:7">
      <c r="A996" s="14">
        <v>44614</v>
      </c>
      <c r="B996" s="11">
        <f>VLOOKUP(A996,[1]HD_price_daily!$A$8:$B$1768,2,0)</f>
        <v>316.17</v>
      </c>
      <c r="C996">
        <f t="shared" si="60"/>
        <v>-8.8505780263499312E-2</v>
      </c>
      <c r="D996" s="1" t="str">
        <f t="shared" ca="1" si="61"/>
        <v>=B996/B995-1</v>
      </c>
      <c r="E996" s="8">
        <f>VLOOKUP(A996,'[1]S&amp;P500_DAILY'!$A$8:$B$1768,2,0)</f>
        <v>4304.76</v>
      </c>
      <c r="F996" s="1">
        <f t="shared" si="62"/>
        <v>-1.0142864698185927E-2</v>
      </c>
      <c r="G996" s="1" t="str">
        <f t="shared" ca="1" si="63"/>
        <v>=E996/E995-1</v>
      </c>
    </row>
    <row r="997" spans="1:7">
      <c r="A997" s="14">
        <v>44615</v>
      </c>
      <c r="B997" s="11">
        <f>VLOOKUP(A997,[1]HD_price_daily!$A$8:$B$1768,2,0)</f>
        <v>308.45</v>
      </c>
      <c r="C997">
        <f t="shared" si="60"/>
        <v>-2.4417243887781992E-2</v>
      </c>
      <c r="D997" s="1" t="str">
        <f t="shared" ca="1" si="61"/>
        <v>=B997/B996-1</v>
      </c>
      <c r="E997" s="8">
        <f>VLOOKUP(A997,'[1]S&amp;P500_DAILY'!$A$8:$B$1768,2,0)</f>
        <v>4225.5</v>
      </c>
      <c r="F997" s="1">
        <f t="shared" si="62"/>
        <v>-1.8412176288573612E-2</v>
      </c>
      <c r="G997" s="1" t="str">
        <f t="shared" ca="1" si="63"/>
        <v>=E997/E996-1</v>
      </c>
    </row>
    <row r="998" spans="1:7">
      <c r="A998" s="14">
        <v>44616</v>
      </c>
      <c r="B998" s="11">
        <f>VLOOKUP(A998,[1]HD_price_daily!$A$8:$B$1768,2,0)</f>
        <v>313.24</v>
      </c>
      <c r="C998">
        <f t="shared" si="60"/>
        <v>1.552925919922199E-2</v>
      </c>
      <c r="D998" s="1" t="str">
        <f t="shared" ca="1" si="61"/>
        <v>=B998/B997-1</v>
      </c>
      <c r="E998" s="8">
        <f>VLOOKUP(A998,'[1]S&amp;P500_DAILY'!$A$8:$B$1768,2,0)</f>
        <v>4288.7</v>
      </c>
      <c r="F998" s="1">
        <f t="shared" si="62"/>
        <v>1.4956809844988816E-2</v>
      </c>
      <c r="G998" s="1" t="str">
        <f t="shared" ca="1" si="63"/>
        <v>=E998/E997-1</v>
      </c>
    </row>
    <row r="999" spans="1:7">
      <c r="A999" s="14">
        <v>44617</v>
      </c>
      <c r="B999" s="11">
        <f>VLOOKUP(A999,[1]HD_price_daily!$A$8:$B$1768,2,0)</f>
        <v>316.64999999999998</v>
      </c>
      <c r="C999">
        <f t="shared" si="60"/>
        <v>1.0886221427659271E-2</v>
      </c>
      <c r="D999" s="1" t="str">
        <f t="shared" ca="1" si="61"/>
        <v>=B999/B998-1</v>
      </c>
      <c r="E999" s="8">
        <f>VLOOKUP(A999,'[1]S&amp;P500_DAILY'!$A$8:$B$1768,2,0)</f>
        <v>4384.6499999999996</v>
      </c>
      <c r="F999" s="1">
        <f t="shared" si="62"/>
        <v>2.2372746986266234E-2</v>
      </c>
      <c r="G999" s="1" t="str">
        <f t="shared" ca="1" si="63"/>
        <v>=E999/E998-1</v>
      </c>
    </row>
    <row r="1000" spans="1:7">
      <c r="A1000" s="14">
        <v>44620</v>
      </c>
      <c r="B1000" s="11">
        <f>VLOOKUP(A1000,[1]HD_price_daily!$A$8:$B$1768,2,0)</f>
        <v>315.83</v>
      </c>
      <c r="C1000">
        <f t="shared" si="60"/>
        <v>-2.5896099794725513E-3</v>
      </c>
      <c r="D1000" s="1" t="str">
        <f t="shared" ca="1" si="61"/>
        <v>=B1000/B999-1</v>
      </c>
      <c r="E1000" s="8">
        <f>VLOOKUP(A1000,'[1]S&amp;P500_DAILY'!$A$8:$B$1768,2,0)</f>
        <v>4373.9399999999996</v>
      </c>
      <c r="F1000" s="1">
        <f t="shared" si="62"/>
        <v>-2.4426122951660689E-3</v>
      </c>
      <c r="G1000" s="1" t="str">
        <f t="shared" ca="1" si="63"/>
        <v>=E1000/E999-1</v>
      </c>
    </row>
    <row r="1001" spans="1:7">
      <c r="A1001" s="14">
        <v>44621</v>
      </c>
      <c r="B1001" s="11">
        <f>VLOOKUP(A1001,[1]HD_price_daily!$A$8:$B$1768,2,0)</f>
        <v>320.25</v>
      </c>
      <c r="C1001">
        <f t="shared" si="60"/>
        <v>1.3994870658265546E-2</v>
      </c>
      <c r="D1001" s="1" t="str">
        <f t="shared" ca="1" si="61"/>
        <v>=B1001/B1000-1</v>
      </c>
      <c r="E1001" s="8">
        <f>VLOOKUP(A1001,'[1]S&amp;P500_DAILY'!$A$8:$B$1768,2,0)</f>
        <v>4306.26</v>
      </c>
      <c r="F1001" s="1">
        <f t="shared" si="62"/>
        <v>-1.5473463284818578E-2</v>
      </c>
      <c r="G1001" s="1" t="str">
        <f t="shared" ca="1" si="63"/>
        <v>=E1001/E1000-1</v>
      </c>
    </row>
    <row r="1002" spans="1:7">
      <c r="A1002" s="14">
        <v>44622</v>
      </c>
      <c r="B1002" s="11">
        <f>VLOOKUP(A1002,[1]HD_price_daily!$A$8:$B$1768,2,0)</f>
        <v>327.37</v>
      </c>
      <c r="C1002">
        <f t="shared" si="60"/>
        <v>2.2232630757220928E-2</v>
      </c>
      <c r="D1002" s="1" t="str">
        <f t="shared" ca="1" si="61"/>
        <v>=B1002/B1001-1</v>
      </c>
      <c r="E1002" s="8">
        <f>VLOOKUP(A1002,'[1]S&amp;P500_DAILY'!$A$8:$B$1768,2,0)</f>
        <v>4386.54</v>
      </c>
      <c r="F1002" s="1">
        <f t="shared" si="62"/>
        <v>1.8642627244987553E-2</v>
      </c>
      <c r="G1002" s="1" t="str">
        <f t="shared" ca="1" si="63"/>
        <v>=E1002/E1001-1</v>
      </c>
    </row>
    <row r="1003" spans="1:7">
      <c r="A1003" s="14">
        <v>44623</v>
      </c>
      <c r="B1003" s="11">
        <f>VLOOKUP(A1003,[1]HD_price_daily!$A$8:$B$1768,2,0)</f>
        <v>324.36</v>
      </c>
      <c r="C1003">
        <f t="shared" si="60"/>
        <v>-9.1944894156458234E-3</v>
      </c>
      <c r="D1003" s="1" t="str">
        <f t="shared" ca="1" si="61"/>
        <v>=B1003/B1002-1</v>
      </c>
      <c r="E1003" s="8">
        <f>VLOOKUP(A1003,'[1]S&amp;P500_DAILY'!$A$8:$B$1768,2,0)</f>
        <v>4363.49</v>
      </c>
      <c r="F1003" s="1">
        <f t="shared" si="62"/>
        <v>-5.2547110022934662E-3</v>
      </c>
      <c r="G1003" s="1" t="str">
        <f t="shared" ca="1" si="63"/>
        <v>=E1003/E1002-1</v>
      </c>
    </row>
    <row r="1004" spans="1:7">
      <c r="A1004" s="14">
        <v>44624</v>
      </c>
      <c r="B1004" s="11">
        <f>VLOOKUP(A1004,[1]HD_price_daily!$A$8:$B$1768,2,0)</f>
        <v>324.26</v>
      </c>
      <c r="C1004">
        <f t="shared" si="60"/>
        <v>-3.0829942039711788E-4</v>
      </c>
      <c r="D1004" s="1" t="str">
        <f t="shared" ca="1" si="61"/>
        <v>=B1004/B1003-1</v>
      </c>
      <c r="E1004" s="8">
        <f>VLOOKUP(A1004,'[1]S&amp;P500_DAILY'!$A$8:$B$1768,2,0)</f>
        <v>4328.87</v>
      </c>
      <c r="F1004" s="1">
        <f t="shared" si="62"/>
        <v>-7.93401612012401E-3</v>
      </c>
      <c r="G1004" s="1" t="str">
        <f t="shared" ca="1" si="63"/>
        <v>=E1004/E1003-1</v>
      </c>
    </row>
    <row r="1005" spans="1:7">
      <c r="A1005" s="14">
        <v>44627</v>
      </c>
      <c r="B1005" s="11">
        <f>VLOOKUP(A1005,[1]HD_price_daily!$A$8:$B$1768,2,0)</f>
        <v>322.77</v>
      </c>
      <c r="C1005">
        <f t="shared" si="60"/>
        <v>-4.5950780238080968E-3</v>
      </c>
      <c r="D1005" s="1" t="str">
        <f t="shared" ca="1" si="61"/>
        <v>=B1005/B1004-1</v>
      </c>
      <c r="E1005" s="8">
        <f>VLOOKUP(A1005,'[1]S&amp;P500_DAILY'!$A$8:$B$1768,2,0)</f>
        <v>4201.09</v>
      </c>
      <c r="F1005" s="1">
        <f t="shared" si="62"/>
        <v>-2.9518095946517109E-2</v>
      </c>
      <c r="G1005" s="1" t="str">
        <f t="shared" ca="1" si="63"/>
        <v>=E1005/E1004-1</v>
      </c>
    </row>
    <row r="1006" spans="1:7">
      <c r="A1006" s="14">
        <v>44628</v>
      </c>
      <c r="B1006" s="11">
        <f>VLOOKUP(A1006,[1]HD_price_daily!$A$8:$B$1768,2,0)</f>
        <v>316.74</v>
      </c>
      <c r="C1006">
        <f t="shared" si="60"/>
        <v>-1.8682033646249541E-2</v>
      </c>
      <c r="D1006" s="1" t="str">
        <f t="shared" ca="1" si="61"/>
        <v>=B1006/B1005-1</v>
      </c>
      <c r="E1006" s="8">
        <f>VLOOKUP(A1006,'[1]S&amp;P500_DAILY'!$A$8:$B$1768,2,0)</f>
        <v>4170.7</v>
      </c>
      <c r="F1006" s="1">
        <f t="shared" si="62"/>
        <v>-7.2338369327961116E-3</v>
      </c>
      <c r="G1006" s="1" t="str">
        <f t="shared" ca="1" si="63"/>
        <v>=E1006/E1005-1</v>
      </c>
    </row>
    <row r="1007" spans="1:7">
      <c r="A1007" s="14">
        <v>44629</v>
      </c>
      <c r="B1007" s="11">
        <f>VLOOKUP(A1007,[1]HD_price_daily!$A$8:$B$1768,2,0)</f>
        <v>317.2</v>
      </c>
      <c r="C1007">
        <f t="shared" si="60"/>
        <v>1.4522952579401061E-3</v>
      </c>
      <c r="D1007" s="1" t="str">
        <f t="shared" ca="1" si="61"/>
        <v>=B1007/B1006-1</v>
      </c>
      <c r="E1007" s="8">
        <f>VLOOKUP(A1007,'[1]S&amp;P500_DAILY'!$A$8:$B$1768,2,0)</f>
        <v>4277.88</v>
      </c>
      <c r="F1007" s="1">
        <f t="shared" si="62"/>
        <v>2.5698324022346508E-2</v>
      </c>
      <c r="G1007" s="1" t="str">
        <f t="shared" ca="1" si="63"/>
        <v>=E1007/E1006-1</v>
      </c>
    </row>
    <row r="1008" spans="1:7">
      <c r="A1008" s="14">
        <v>44630</v>
      </c>
      <c r="B1008" s="11">
        <f>VLOOKUP(A1008,[1]HD_price_daily!$A$8:$B$1768,2,0)</f>
        <v>317.94</v>
      </c>
      <c r="C1008">
        <f t="shared" si="60"/>
        <v>2.3329129886506816E-3</v>
      </c>
      <c r="D1008" s="1" t="str">
        <f t="shared" ca="1" si="61"/>
        <v>=B1008/B1007-1</v>
      </c>
      <c r="E1008" s="8">
        <f>VLOOKUP(A1008,'[1]S&amp;P500_DAILY'!$A$8:$B$1768,2,0)</f>
        <v>4259.5200000000004</v>
      </c>
      <c r="F1008" s="1">
        <f t="shared" si="62"/>
        <v>-4.2918454935622075E-3</v>
      </c>
      <c r="G1008" s="1" t="str">
        <f t="shared" ca="1" si="63"/>
        <v>=E1008/E1007-1</v>
      </c>
    </row>
    <row r="1009" spans="1:7">
      <c r="A1009" s="14">
        <v>44631</v>
      </c>
      <c r="B1009" s="11">
        <f>VLOOKUP(A1009,[1]HD_price_daily!$A$8:$B$1768,2,0)</f>
        <v>316.79000000000002</v>
      </c>
      <c r="C1009">
        <f t="shared" si="60"/>
        <v>-3.6170346606276826E-3</v>
      </c>
      <c r="D1009" s="1" t="str">
        <f t="shared" ca="1" si="61"/>
        <v>=B1009/B1008-1</v>
      </c>
      <c r="E1009" s="8">
        <f>VLOOKUP(A1009,'[1]S&amp;P500_DAILY'!$A$8:$B$1768,2,0)</f>
        <v>4204.3100000000004</v>
      </c>
      <c r="F1009" s="1">
        <f t="shared" si="62"/>
        <v>-1.2961554353542182E-2</v>
      </c>
      <c r="G1009" s="1" t="str">
        <f t="shared" ca="1" si="63"/>
        <v>=E1009/E1008-1</v>
      </c>
    </row>
    <row r="1010" spans="1:7">
      <c r="A1010" s="14">
        <v>44634</v>
      </c>
      <c r="B1010" s="11">
        <f>VLOOKUP(A1010,[1]HD_price_daily!$A$8:$B$1768,2,0)</f>
        <v>318.36</v>
      </c>
      <c r="C1010">
        <f t="shared" si="60"/>
        <v>4.955964519081979E-3</v>
      </c>
      <c r="D1010" s="1" t="str">
        <f t="shared" ca="1" si="61"/>
        <v>=B1010/B1009-1</v>
      </c>
      <c r="E1010" s="8">
        <f>VLOOKUP(A1010,'[1]S&amp;P500_DAILY'!$A$8:$B$1768,2,0)</f>
        <v>4173.1099999999997</v>
      </c>
      <c r="F1010" s="1">
        <f t="shared" si="62"/>
        <v>-7.4209561140831104E-3</v>
      </c>
      <c r="G1010" s="1" t="str">
        <f t="shared" ca="1" si="63"/>
        <v>=E1010/E1009-1</v>
      </c>
    </row>
    <row r="1011" spans="1:7">
      <c r="A1011" s="14">
        <v>44635</v>
      </c>
      <c r="B1011" s="11">
        <f>VLOOKUP(A1011,[1]HD_price_daily!$A$8:$B$1768,2,0)</f>
        <v>328.54</v>
      </c>
      <c r="C1011">
        <f t="shared" si="60"/>
        <v>3.1976378942078165E-2</v>
      </c>
      <c r="D1011" s="1" t="str">
        <f t="shared" ca="1" si="61"/>
        <v>=B1011/B1010-1</v>
      </c>
      <c r="E1011" s="8">
        <f>VLOOKUP(A1011,'[1]S&amp;P500_DAILY'!$A$8:$B$1768,2,0)</f>
        <v>4262.45</v>
      </c>
      <c r="F1011" s="1">
        <f t="shared" si="62"/>
        <v>2.1408493905025416E-2</v>
      </c>
      <c r="G1011" s="1" t="str">
        <f t="shared" ca="1" si="63"/>
        <v>=E1011/E1010-1</v>
      </c>
    </row>
    <row r="1012" spans="1:7">
      <c r="A1012" s="14">
        <v>44636</v>
      </c>
      <c r="B1012" s="11">
        <f>VLOOKUP(A1012,[1]HD_price_daily!$A$8:$B$1768,2,0)</f>
        <v>330.91</v>
      </c>
      <c r="C1012">
        <f t="shared" si="60"/>
        <v>7.213733487551055E-3</v>
      </c>
      <c r="D1012" s="1" t="str">
        <f t="shared" ca="1" si="61"/>
        <v>=B1012/B1011-1</v>
      </c>
      <c r="E1012" s="8">
        <f>VLOOKUP(A1012,'[1]S&amp;P500_DAILY'!$A$8:$B$1768,2,0)</f>
        <v>4357.8599999999997</v>
      </c>
      <c r="F1012" s="1">
        <f t="shared" si="62"/>
        <v>2.2383840279651235E-2</v>
      </c>
      <c r="G1012" s="1" t="str">
        <f t="shared" ca="1" si="63"/>
        <v>=E1012/E1011-1</v>
      </c>
    </row>
    <row r="1013" spans="1:7">
      <c r="A1013" s="14">
        <v>44637</v>
      </c>
      <c r="B1013" s="11">
        <f>VLOOKUP(A1013,[1]HD_price_daily!$A$8:$B$1768,2,0)</f>
        <v>336.36</v>
      </c>
      <c r="C1013">
        <f t="shared" si="60"/>
        <v>1.6469734973255434E-2</v>
      </c>
      <c r="D1013" s="1" t="str">
        <f t="shared" ca="1" si="61"/>
        <v>=B1013/B1012-1</v>
      </c>
      <c r="E1013" s="8">
        <f>VLOOKUP(A1013,'[1]S&amp;P500_DAILY'!$A$8:$B$1768,2,0)</f>
        <v>4411.67</v>
      </c>
      <c r="F1013" s="1">
        <f t="shared" si="62"/>
        <v>1.2347803738532281E-2</v>
      </c>
      <c r="G1013" s="1" t="str">
        <f t="shared" ca="1" si="63"/>
        <v>=E1013/E1012-1</v>
      </c>
    </row>
    <row r="1014" spans="1:7">
      <c r="A1014" s="14">
        <v>44638</v>
      </c>
      <c r="B1014" s="11">
        <f>VLOOKUP(A1014,[1]HD_price_daily!$A$8:$B$1768,2,0)</f>
        <v>340.74</v>
      </c>
      <c r="C1014">
        <f t="shared" si="60"/>
        <v>1.3021762397431358E-2</v>
      </c>
      <c r="D1014" s="1" t="str">
        <f t="shared" ca="1" si="61"/>
        <v>=B1014/B1013-1</v>
      </c>
      <c r="E1014" s="8">
        <f>VLOOKUP(A1014,'[1]S&amp;P500_DAILY'!$A$8:$B$1768,2,0)</f>
        <v>4463.12</v>
      </c>
      <c r="F1014" s="1">
        <f t="shared" si="62"/>
        <v>1.1662250349640857E-2</v>
      </c>
      <c r="G1014" s="1" t="str">
        <f t="shared" ca="1" si="63"/>
        <v>=E1014/E1013-1</v>
      </c>
    </row>
    <row r="1015" spans="1:7">
      <c r="A1015" s="14">
        <v>44641</v>
      </c>
      <c r="B1015" s="11">
        <f>VLOOKUP(A1015,[1]HD_price_daily!$A$8:$B$1768,2,0)</f>
        <v>329.37</v>
      </c>
      <c r="C1015">
        <f t="shared" si="60"/>
        <v>-3.3368550801197383E-2</v>
      </c>
      <c r="D1015" s="1" t="str">
        <f t="shared" ca="1" si="61"/>
        <v>=B1015/B1014-1</v>
      </c>
      <c r="E1015" s="8">
        <f>VLOOKUP(A1015,'[1]S&amp;P500_DAILY'!$A$8:$B$1768,2,0)</f>
        <v>4461.18</v>
      </c>
      <c r="F1015" s="1">
        <f t="shared" si="62"/>
        <v>-4.3467350194470455E-4</v>
      </c>
      <c r="G1015" s="1" t="str">
        <f t="shared" ca="1" si="63"/>
        <v>=E1015/E1014-1</v>
      </c>
    </row>
    <row r="1016" spans="1:7">
      <c r="A1016" s="14">
        <v>44642</v>
      </c>
      <c r="B1016" s="11">
        <f>VLOOKUP(A1016,[1]HD_price_daily!$A$8:$B$1768,2,0)</f>
        <v>329.73</v>
      </c>
      <c r="C1016">
        <f t="shared" si="60"/>
        <v>1.0929957191001538E-3</v>
      </c>
      <c r="D1016" s="1" t="str">
        <f t="shared" ca="1" si="61"/>
        <v>=B1016/B1015-1</v>
      </c>
      <c r="E1016" s="8">
        <f>VLOOKUP(A1016,'[1]S&amp;P500_DAILY'!$A$8:$B$1768,2,0)</f>
        <v>4511.6099999999997</v>
      </c>
      <c r="F1016" s="1">
        <f t="shared" si="62"/>
        <v>1.1304184094790948E-2</v>
      </c>
      <c r="G1016" s="1" t="str">
        <f t="shared" ca="1" si="63"/>
        <v>=E1016/E1015-1</v>
      </c>
    </row>
    <row r="1017" spans="1:7">
      <c r="A1017" s="14">
        <v>44643</v>
      </c>
      <c r="B1017" s="11">
        <f>VLOOKUP(A1017,[1]HD_price_daily!$A$8:$B$1768,2,0)</f>
        <v>317.05</v>
      </c>
      <c r="C1017">
        <f t="shared" si="60"/>
        <v>-3.8455706183847416E-2</v>
      </c>
      <c r="D1017" s="1" t="str">
        <f t="shared" ca="1" si="61"/>
        <v>=B1017/B1016-1</v>
      </c>
      <c r="E1017" s="8">
        <f>VLOOKUP(A1017,'[1]S&amp;P500_DAILY'!$A$8:$B$1768,2,0)</f>
        <v>4456.24</v>
      </c>
      <c r="F1017" s="1">
        <f t="shared" si="62"/>
        <v>-1.2272780670315009E-2</v>
      </c>
      <c r="G1017" s="1" t="str">
        <f t="shared" ca="1" si="63"/>
        <v>=E1017/E1016-1</v>
      </c>
    </row>
    <row r="1018" spans="1:7">
      <c r="A1018" s="14">
        <v>44644</v>
      </c>
      <c r="B1018" s="11">
        <f>VLOOKUP(A1018,[1]HD_price_daily!$A$8:$B$1768,2,0)</f>
        <v>315.77999999999997</v>
      </c>
      <c r="C1018">
        <f t="shared" si="60"/>
        <v>-4.0056773379594235E-3</v>
      </c>
      <c r="D1018" s="1" t="str">
        <f t="shared" ca="1" si="61"/>
        <v>=B1018/B1017-1</v>
      </c>
      <c r="E1018" s="8">
        <f>VLOOKUP(A1018,'[1]S&amp;P500_DAILY'!$A$8:$B$1768,2,0)</f>
        <v>4520.16</v>
      </c>
      <c r="F1018" s="1">
        <f t="shared" si="62"/>
        <v>1.4343931206577842E-2</v>
      </c>
      <c r="G1018" s="1" t="str">
        <f t="shared" ca="1" si="63"/>
        <v>=E1018/E1017-1</v>
      </c>
    </row>
    <row r="1019" spans="1:7">
      <c r="A1019" s="14">
        <v>44645</v>
      </c>
      <c r="B1019" s="11">
        <f>VLOOKUP(A1019,[1]HD_price_daily!$A$8:$B$1768,2,0)</f>
        <v>310.68</v>
      </c>
      <c r="C1019">
        <f t="shared" si="60"/>
        <v>-1.6150484514535379E-2</v>
      </c>
      <c r="D1019" s="1" t="str">
        <f t="shared" ca="1" si="61"/>
        <v>=B1019/B1018-1</v>
      </c>
      <c r="E1019" s="8">
        <f>VLOOKUP(A1019,'[1]S&amp;P500_DAILY'!$A$8:$B$1768,2,0)</f>
        <v>4543.0600000000004</v>
      </c>
      <c r="F1019" s="1">
        <f t="shared" si="62"/>
        <v>5.0661923471737591E-3</v>
      </c>
      <c r="G1019" s="1" t="str">
        <f t="shared" ca="1" si="63"/>
        <v>=E1019/E1018-1</v>
      </c>
    </row>
    <row r="1020" spans="1:7">
      <c r="A1020" s="14">
        <v>44648</v>
      </c>
      <c r="B1020" s="11">
        <f>VLOOKUP(A1020,[1]HD_price_daily!$A$8:$B$1768,2,0)</f>
        <v>314.27999999999997</v>
      </c>
      <c r="C1020">
        <f t="shared" si="60"/>
        <v>1.1587485515643037E-2</v>
      </c>
      <c r="D1020" s="1" t="str">
        <f t="shared" ca="1" si="61"/>
        <v>=B1020/B1019-1</v>
      </c>
      <c r="E1020" s="8">
        <f>VLOOKUP(A1020,'[1]S&amp;P500_DAILY'!$A$8:$B$1768,2,0)</f>
        <v>4575.5200000000004</v>
      </c>
      <c r="F1020" s="1">
        <f t="shared" si="62"/>
        <v>7.1449639670178033E-3</v>
      </c>
      <c r="G1020" s="1" t="str">
        <f t="shared" ca="1" si="63"/>
        <v>=E1020/E1019-1</v>
      </c>
    </row>
    <row r="1021" spans="1:7">
      <c r="A1021" s="14">
        <v>44649</v>
      </c>
      <c r="B1021" s="11">
        <f>VLOOKUP(A1021,[1]HD_price_daily!$A$8:$B$1768,2,0)</f>
        <v>317.70999999999998</v>
      </c>
      <c r="C1021">
        <f t="shared" si="60"/>
        <v>1.0913834796996369E-2</v>
      </c>
      <c r="D1021" s="1" t="str">
        <f t="shared" ca="1" si="61"/>
        <v>=B1021/B1020-1</v>
      </c>
      <c r="E1021" s="8">
        <f>VLOOKUP(A1021,'[1]S&amp;P500_DAILY'!$A$8:$B$1768,2,0)</f>
        <v>4631.6000000000004</v>
      </c>
      <c r="F1021" s="1">
        <f t="shared" si="62"/>
        <v>1.2256530405287291E-2</v>
      </c>
      <c r="G1021" s="1" t="str">
        <f t="shared" ca="1" si="63"/>
        <v>=E1021/E1020-1</v>
      </c>
    </row>
    <row r="1022" spans="1:7">
      <c r="A1022" s="14">
        <v>44650</v>
      </c>
      <c r="B1022" s="11">
        <f>VLOOKUP(A1022,[1]HD_price_daily!$A$8:$B$1768,2,0)</f>
        <v>308.45999999999998</v>
      </c>
      <c r="C1022">
        <f t="shared" si="60"/>
        <v>-2.9114601366025616E-2</v>
      </c>
      <c r="D1022" s="1" t="str">
        <f t="shared" ca="1" si="61"/>
        <v>=B1022/B1021-1</v>
      </c>
      <c r="E1022" s="8">
        <f>VLOOKUP(A1022,'[1]S&amp;P500_DAILY'!$A$8:$B$1768,2,0)</f>
        <v>4602.45</v>
      </c>
      <c r="F1022" s="1">
        <f t="shared" si="62"/>
        <v>-6.2937213921756552E-3</v>
      </c>
      <c r="G1022" s="1" t="str">
        <f t="shared" ca="1" si="63"/>
        <v>=E1022/E1021-1</v>
      </c>
    </row>
    <row r="1023" spans="1:7">
      <c r="A1023" s="14">
        <v>44651</v>
      </c>
      <c r="B1023" s="11">
        <f>VLOOKUP(A1023,[1]HD_price_daily!$A$8:$B$1768,2,0)</f>
        <v>299.33</v>
      </c>
      <c r="C1023">
        <f t="shared" si="60"/>
        <v>-2.9598651364844741E-2</v>
      </c>
      <c r="D1023" s="1" t="str">
        <f t="shared" ca="1" si="61"/>
        <v>=B1023/B1022-1</v>
      </c>
      <c r="E1023" s="8">
        <f>VLOOKUP(A1023,'[1]S&amp;P500_DAILY'!$A$8:$B$1768,2,0)</f>
        <v>4530.41</v>
      </c>
      <c r="F1023" s="1">
        <f t="shared" si="62"/>
        <v>-1.5652532890091164E-2</v>
      </c>
      <c r="G1023" s="1" t="str">
        <f t="shared" ca="1" si="63"/>
        <v>=E1023/E1022-1</v>
      </c>
    </row>
    <row r="1024" spans="1:7">
      <c r="A1024" s="14">
        <v>44652</v>
      </c>
      <c r="B1024" s="11">
        <f>VLOOKUP(A1024,[1]HD_price_daily!$A$8:$B$1768,2,0)</f>
        <v>301.89</v>
      </c>
      <c r="C1024">
        <f t="shared" si="60"/>
        <v>8.552433768750145E-3</v>
      </c>
      <c r="D1024" s="1" t="str">
        <f t="shared" ca="1" si="61"/>
        <v>=B1024/B1023-1</v>
      </c>
      <c r="E1024" s="8">
        <f>VLOOKUP(A1024,'[1]S&amp;P500_DAILY'!$A$8:$B$1768,2,0)</f>
        <v>4545.8599999999997</v>
      </c>
      <c r="F1024" s="1">
        <f t="shared" si="62"/>
        <v>3.4102873691344016E-3</v>
      </c>
      <c r="G1024" s="1" t="str">
        <f t="shared" ca="1" si="63"/>
        <v>=E1024/E1023-1</v>
      </c>
    </row>
    <row r="1025" spans="1:7">
      <c r="A1025" s="14">
        <v>44655</v>
      </c>
      <c r="B1025" s="11">
        <f>VLOOKUP(A1025,[1]HD_price_daily!$A$8:$B$1768,2,0)</f>
        <v>305.58</v>
      </c>
      <c r="C1025">
        <f t="shared" si="60"/>
        <v>1.2222995130676706E-2</v>
      </c>
      <c r="D1025" s="1" t="str">
        <f t="shared" ca="1" si="61"/>
        <v>=B1025/B1024-1</v>
      </c>
      <c r="E1025" s="8">
        <f>VLOOKUP(A1025,'[1]S&amp;P500_DAILY'!$A$8:$B$1768,2,0)</f>
        <v>4582.6400000000003</v>
      </c>
      <c r="F1025" s="1">
        <f t="shared" si="62"/>
        <v>8.0908782936564005E-3</v>
      </c>
      <c r="G1025" s="1" t="str">
        <f t="shared" ca="1" si="63"/>
        <v>=E1025/E1024-1</v>
      </c>
    </row>
    <row r="1026" spans="1:7">
      <c r="A1026" s="14">
        <v>44656</v>
      </c>
      <c r="B1026" s="11">
        <f>VLOOKUP(A1026,[1]HD_price_daily!$A$8:$B$1768,2,0)</f>
        <v>304.86</v>
      </c>
      <c r="C1026">
        <f t="shared" si="60"/>
        <v>-2.3561751423522015E-3</v>
      </c>
      <c r="D1026" s="1" t="str">
        <f t="shared" ca="1" si="61"/>
        <v>=B1026/B1025-1</v>
      </c>
      <c r="E1026" s="8">
        <f>VLOOKUP(A1026,'[1]S&amp;P500_DAILY'!$A$8:$B$1768,2,0)</f>
        <v>4525.12</v>
      </c>
      <c r="F1026" s="1">
        <f t="shared" si="62"/>
        <v>-1.2551716914267819E-2</v>
      </c>
      <c r="G1026" s="1" t="str">
        <f t="shared" ca="1" si="63"/>
        <v>=E1026/E1025-1</v>
      </c>
    </row>
    <row r="1027" spans="1:7">
      <c r="A1027" s="14">
        <v>44657</v>
      </c>
      <c r="B1027" s="11">
        <f>VLOOKUP(A1027,[1]HD_price_daily!$A$8:$B$1768,2,0)</f>
        <v>298.54000000000002</v>
      </c>
      <c r="C1027">
        <f t="shared" si="60"/>
        <v>-2.0730827264974105E-2</v>
      </c>
      <c r="D1027" s="1" t="str">
        <f t="shared" ca="1" si="61"/>
        <v>=B1027/B1026-1</v>
      </c>
      <c r="E1027" s="8">
        <f>VLOOKUP(A1027,'[1]S&amp;P500_DAILY'!$A$8:$B$1768,2,0)</f>
        <v>4481.1499999999996</v>
      </c>
      <c r="F1027" s="1">
        <f t="shared" si="62"/>
        <v>-9.7168693868892042E-3</v>
      </c>
      <c r="G1027" s="1" t="str">
        <f t="shared" ca="1" si="63"/>
        <v>=E1027/E1026-1</v>
      </c>
    </row>
    <row r="1028" spans="1:7">
      <c r="A1028" s="14">
        <v>44658</v>
      </c>
      <c r="B1028" s="11">
        <f>VLOOKUP(A1028,[1]HD_price_daily!$A$8:$B$1768,2,0)</f>
        <v>302.75</v>
      </c>
      <c r="C1028">
        <f t="shared" ref="C1028:C1091" si="64">B1028/B1027-1</f>
        <v>1.4101962886045261E-2</v>
      </c>
      <c r="D1028" s="1" t="str">
        <f t="shared" ref="D1028:D1091" ca="1" si="65">_xlfn.FORMULATEXT(C1028)</f>
        <v>=B1028/B1027-1</v>
      </c>
      <c r="E1028" s="8">
        <f>VLOOKUP(A1028,'[1]S&amp;P500_DAILY'!$A$8:$B$1768,2,0)</f>
        <v>4500.21</v>
      </c>
      <c r="F1028" s="1">
        <f t="shared" ref="F1028:F1091" si="66">E1028/E1027-1</f>
        <v>4.2533724601945266E-3</v>
      </c>
      <c r="G1028" s="1" t="str">
        <f t="shared" ref="G1028:G1091" ca="1" si="67">_xlfn.FORMULATEXT(F1028)</f>
        <v>=E1028/E1027-1</v>
      </c>
    </row>
    <row r="1029" spans="1:7">
      <c r="A1029" s="14">
        <v>44659</v>
      </c>
      <c r="B1029" s="11">
        <f>VLOOKUP(A1029,[1]HD_price_daily!$A$8:$B$1768,2,0)</f>
        <v>311.11</v>
      </c>
      <c r="C1029">
        <f t="shared" si="64"/>
        <v>2.7613542526837342E-2</v>
      </c>
      <c r="D1029" s="1" t="str">
        <f t="shared" ca="1" si="65"/>
        <v>=B1029/B1028-1</v>
      </c>
      <c r="E1029" s="8">
        <f>VLOOKUP(A1029,'[1]S&amp;P500_DAILY'!$A$8:$B$1768,2,0)</f>
        <v>4488.28</v>
      </c>
      <c r="F1029" s="1">
        <f t="shared" si="66"/>
        <v>-2.6509873983658894E-3</v>
      </c>
      <c r="G1029" s="1" t="str">
        <f t="shared" ca="1" si="67"/>
        <v>=E1029/E1028-1</v>
      </c>
    </row>
    <row r="1030" spans="1:7">
      <c r="A1030" s="14">
        <v>44662</v>
      </c>
      <c r="B1030" s="11">
        <f>VLOOKUP(A1030,[1]HD_price_daily!$A$8:$B$1768,2,0)</f>
        <v>306.72000000000003</v>
      </c>
      <c r="C1030">
        <f t="shared" si="64"/>
        <v>-1.4110764681302346E-2</v>
      </c>
      <c r="D1030" s="1" t="str">
        <f t="shared" ca="1" si="65"/>
        <v>=B1030/B1029-1</v>
      </c>
      <c r="E1030" s="8">
        <f>VLOOKUP(A1030,'[1]S&amp;P500_DAILY'!$A$8:$B$1768,2,0)</f>
        <v>4412.53</v>
      </c>
      <c r="F1030" s="1">
        <f t="shared" si="66"/>
        <v>-1.6877289295676778E-2</v>
      </c>
      <c r="G1030" s="1" t="str">
        <f t="shared" ca="1" si="67"/>
        <v>=E1030/E1029-1</v>
      </c>
    </row>
    <row r="1031" spans="1:7">
      <c r="A1031" s="14">
        <v>44663</v>
      </c>
      <c r="B1031" s="11">
        <f>VLOOKUP(A1031,[1]HD_price_daily!$A$8:$B$1768,2,0)</f>
        <v>306.29000000000002</v>
      </c>
      <c r="C1031">
        <f t="shared" si="64"/>
        <v>-1.4019300991132688E-3</v>
      </c>
      <c r="D1031" s="1" t="str">
        <f t="shared" ca="1" si="65"/>
        <v>=B1031/B1030-1</v>
      </c>
      <c r="E1031" s="8">
        <f>VLOOKUP(A1031,'[1]S&amp;P500_DAILY'!$A$8:$B$1768,2,0)</f>
        <v>4397.45</v>
      </c>
      <c r="F1031" s="1">
        <f t="shared" si="66"/>
        <v>-3.4175405039739148E-3</v>
      </c>
      <c r="G1031" s="1" t="str">
        <f t="shared" ca="1" si="67"/>
        <v>=E1031/E1030-1</v>
      </c>
    </row>
    <row r="1032" spans="1:7">
      <c r="A1032" s="14">
        <v>44664</v>
      </c>
      <c r="B1032" s="11">
        <f>VLOOKUP(A1032,[1]HD_price_daily!$A$8:$B$1768,2,0)</f>
        <v>310.42</v>
      </c>
      <c r="C1032">
        <f t="shared" si="64"/>
        <v>1.3483953116327552E-2</v>
      </c>
      <c r="D1032" s="1" t="str">
        <f t="shared" ca="1" si="65"/>
        <v>=B1032/B1031-1</v>
      </c>
      <c r="E1032" s="8">
        <f>VLOOKUP(A1032,'[1]S&amp;P500_DAILY'!$A$8:$B$1768,2,0)</f>
        <v>4446.59</v>
      </c>
      <c r="F1032" s="1">
        <f t="shared" si="66"/>
        <v>1.1174658040455254E-2</v>
      </c>
      <c r="G1032" s="1" t="str">
        <f t="shared" ca="1" si="67"/>
        <v>=E1032/E1031-1</v>
      </c>
    </row>
    <row r="1033" spans="1:7">
      <c r="A1033" s="14">
        <v>44665</v>
      </c>
      <c r="B1033" s="11">
        <f>VLOOKUP(A1033,[1]HD_price_daily!$A$8:$B$1768,2,0)</f>
        <v>304.52</v>
      </c>
      <c r="C1033">
        <f t="shared" si="64"/>
        <v>-1.9006507312673282E-2</v>
      </c>
      <c r="D1033" s="1" t="str">
        <f t="shared" ca="1" si="65"/>
        <v>=B1033/B1032-1</v>
      </c>
      <c r="E1033" s="8">
        <f>VLOOKUP(A1033,'[1]S&amp;P500_DAILY'!$A$8:$B$1768,2,0)</f>
        <v>4392.59</v>
      </c>
      <c r="F1033" s="1">
        <f t="shared" si="66"/>
        <v>-1.2144137417661627E-2</v>
      </c>
      <c r="G1033" s="1" t="str">
        <f t="shared" ca="1" si="67"/>
        <v>=E1033/E1032-1</v>
      </c>
    </row>
    <row r="1034" spans="1:7">
      <c r="A1034" s="14">
        <v>44669</v>
      </c>
      <c r="B1034" s="11">
        <f>VLOOKUP(A1034,[1]HD_price_daily!$A$8:$B$1768,2,0)</f>
        <v>300.20999999999998</v>
      </c>
      <c r="C1034">
        <f t="shared" si="64"/>
        <v>-1.4153421778536734E-2</v>
      </c>
      <c r="D1034" s="1" t="str">
        <f t="shared" ca="1" si="65"/>
        <v>=B1034/B1033-1</v>
      </c>
      <c r="E1034" s="8">
        <f>VLOOKUP(A1034,'[1]S&amp;P500_DAILY'!$A$8:$B$1768,2,0)</f>
        <v>4391.6899999999996</v>
      </c>
      <c r="F1034" s="1">
        <f t="shared" si="66"/>
        <v>-2.0489050878880199E-4</v>
      </c>
      <c r="G1034" s="1" t="str">
        <f t="shared" ca="1" si="67"/>
        <v>=E1034/E1033-1</v>
      </c>
    </row>
    <row r="1035" spans="1:7">
      <c r="A1035" s="14">
        <v>44670</v>
      </c>
      <c r="B1035" s="11">
        <f>VLOOKUP(A1035,[1]HD_price_daily!$A$8:$B$1768,2,0)</f>
        <v>307.8</v>
      </c>
      <c r="C1035">
        <f t="shared" si="64"/>
        <v>2.5282302388328182E-2</v>
      </c>
      <c r="D1035" s="1" t="str">
        <f t="shared" ca="1" si="65"/>
        <v>=B1035/B1034-1</v>
      </c>
      <c r="E1035" s="8">
        <f>VLOOKUP(A1035,'[1]S&amp;P500_DAILY'!$A$8:$B$1768,2,0)</f>
        <v>4462.21</v>
      </c>
      <c r="F1035" s="1">
        <f t="shared" si="66"/>
        <v>1.6057599693967584E-2</v>
      </c>
      <c r="G1035" s="1" t="str">
        <f t="shared" ca="1" si="67"/>
        <v>=E1035/E1034-1</v>
      </c>
    </row>
    <row r="1036" spans="1:7">
      <c r="A1036" s="14">
        <v>44671</v>
      </c>
      <c r="B1036" s="11">
        <f>VLOOKUP(A1036,[1]HD_price_daily!$A$8:$B$1768,2,0)</f>
        <v>315.14</v>
      </c>
      <c r="C1036">
        <f t="shared" si="64"/>
        <v>2.3846653671214968E-2</v>
      </c>
      <c r="D1036" s="1" t="str">
        <f t="shared" ca="1" si="65"/>
        <v>=B1036/B1035-1</v>
      </c>
      <c r="E1036" s="8">
        <f>VLOOKUP(A1036,'[1]S&amp;P500_DAILY'!$A$8:$B$1768,2,0)</f>
        <v>4459.45</v>
      </c>
      <c r="F1036" s="1">
        <f t="shared" si="66"/>
        <v>-6.1852759058855789E-4</v>
      </c>
      <c r="G1036" s="1" t="str">
        <f t="shared" ca="1" si="67"/>
        <v>=E1036/E1035-1</v>
      </c>
    </row>
    <row r="1037" spans="1:7">
      <c r="A1037" s="14">
        <v>44672</v>
      </c>
      <c r="B1037" s="11">
        <f>VLOOKUP(A1037,[1]HD_price_daily!$A$8:$B$1768,2,0)</f>
        <v>310.36</v>
      </c>
      <c r="C1037">
        <f t="shared" si="64"/>
        <v>-1.5167861902646407E-2</v>
      </c>
      <c r="D1037" s="1" t="str">
        <f t="shared" ca="1" si="65"/>
        <v>=B1037/B1036-1</v>
      </c>
      <c r="E1037" s="8">
        <f>VLOOKUP(A1037,'[1]S&amp;P500_DAILY'!$A$8:$B$1768,2,0)</f>
        <v>4393.66</v>
      </c>
      <c r="F1037" s="1">
        <f t="shared" si="66"/>
        <v>-1.475294038502506E-2</v>
      </c>
      <c r="G1037" s="1" t="str">
        <f t="shared" ca="1" si="67"/>
        <v>=E1037/E1036-1</v>
      </c>
    </row>
    <row r="1038" spans="1:7">
      <c r="A1038" s="14">
        <v>44673</v>
      </c>
      <c r="B1038" s="11">
        <f>VLOOKUP(A1038,[1]HD_price_daily!$A$8:$B$1768,2,0)</f>
        <v>300.11</v>
      </c>
      <c r="C1038">
        <f t="shared" si="64"/>
        <v>-3.3026163165356337E-2</v>
      </c>
      <c r="D1038" s="1" t="str">
        <f t="shared" ca="1" si="65"/>
        <v>=B1038/B1037-1</v>
      </c>
      <c r="E1038" s="8">
        <f>VLOOKUP(A1038,'[1]S&amp;P500_DAILY'!$A$8:$B$1768,2,0)</f>
        <v>4271.78</v>
      </c>
      <c r="F1038" s="1">
        <f t="shared" si="66"/>
        <v>-2.773997077607282E-2</v>
      </c>
      <c r="G1038" s="1" t="str">
        <f t="shared" ca="1" si="67"/>
        <v>=E1038/E1037-1</v>
      </c>
    </row>
    <row r="1039" spans="1:7">
      <c r="A1039" s="14">
        <v>44676</v>
      </c>
      <c r="B1039" s="11">
        <f>VLOOKUP(A1039,[1]HD_price_daily!$A$8:$B$1768,2,0)</f>
        <v>304.94</v>
      </c>
      <c r="C1039">
        <f t="shared" si="64"/>
        <v>1.6094098830428782E-2</v>
      </c>
      <c r="D1039" s="1" t="str">
        <f t="shared" ca="1" si="65"/>
        <v>=B1039/B1038-1</v>
      </c>
      <c r="E1039" s="8">
        <f>VLOOKUP(A1039,'[1]S&amp;P500_DAILY'!$A$8:$B$1768,2,0)</f>
        <v>4296.12</v>
      </c>
      <c r="F1039" s="1">
        <f t="shared" si="66"/>
        <v>5.6978589721381478E-3</v>
      </c>
      <c r="G1039" s="1" t="str">
        <f t="shared" ca="1" si="67"/>
        <v>=E1039/E1038-1</v>
      </c>
    </row>
    <row r="1040" spans="1:7">
      <c r="A1040" s="14">
        <v>44677</v>
      </c>
      <c r="B1040" s="11">
        <f>VLOOKUP(A1040,[1]HD_price_daily!$A$8:$B$1768,2,0)</f>
        <v>299.95999999999998</v>
      </c>
      <c r="C1040">
        <f t="shared" si="64"/>
        <v>-1.6331081524234348E-2</v>
      </c>
      <c r="D1040" s="1" t="str">
        <f t="shared" ca="1" si="65"/>
        <v>=B1040/B1039-1</v>
      </c>
      <c r="E1040" s="8">
        <f>VLOOKUP(A1040,'[1]S&amp;P500_DAILY'!$A$8:$B$1768,2,0)</f>
        <v>4175.2</v>
      </c>
      <c r="F1040" s="1">
        <f t="shared" si="66"/>
        <v>-2.8146327383778869E-2</v>
      </c>
      <c r="G1040" s="1" t="str">
        <f t="shared" ca="1" si="67"/>
        <v>=E1040/E1039-1</v>
      </c>
    </row>
    <row r="1041" spans="1:7">
      <c r="A1041" s="14">
        <v>44678</v>
      </c>
      <c r="B1041" s="11">
        <f>VLOOKUP(A1041,[1]HD_price_daily!$A$8:$B$1768,2,0)</f>
        <v>301.60000000000002</v>
      </c>
      <c r="C1041">
        <f t="shared" si="64"/>
        <v>5.4673956527537815E-3</v>
      </c>
      <c r="D1041" s="1" t="str">
        <f t="shared" ca="1" si="65"/>
        <v>=B1041/B1040-1</v>
      </c>
      <c r="E1041" s="8">
        <f>VLOOKUP(A1041,'[1]S&amp;P500_DAILY'!$A$8:$B$1768,2,0)</f>
        <v>4183.96</v>
      </c>
      <c r="F1041" s="1">
        <f t="shared" si="66"/>
        <v>2.0981030848821192E-3</v>
      </c>
      <c r="G1041" s="1" t="str">
        <f t="shared" ca="1" si="67"/>
        <v>=E1041/E1040-1</v>
      </c>
    </row>
    <row r="1042" spans="1:7">
      <c r="A1042" s="14">
        <v>44679</v>
      </c>
      <c r="B1042" s="11">
        <f>VLOOKUP(A1042,[1]HD_price_daily!$A$8:$B$1768,2,0)</f>
        <v>311.76</v>
      </c>
      <c r="C1042">
        <f t="shared" si="64"/>
        <v>3.3687002652519782E-2</v>
      </c>
      <c r="D1042" s="1" t="str">
        <f t="shared" ca="1" si="65"/>
        <v>=B1042/B1041-1</v>
      </c>
      <c r="E1042" s="8">
        <f>VLOOKUP(A1042,'[1]S&amp;P500_DAILY'!$A$8:$B$1768,2,0)</f>
        <v>4287.5</v>
      </c>
      <c r="F1042" s="1">
        <f t="shared" si="66"/>
        <v>2.474689050564538E-2</v>
      </c>
      <c r="G1042" s="1" t="str">
        <f t="shared" ca="1" si="67"/>
        <v>=E1042/E1041-1</v>
      </c>
    </row>
    <row r="1043" spans="1:7">
      <c r="A1043" s="14">
        <v>44680</v>
      </c>
      <c r="B1043" s="11">
        <f>VLOOKUP(A1043,[1]HD_price_daily!$A$8:$B$1768,2,0)</f>
        <v>300.39999999999998</v>
      </c>
      <c r="C1043">
        <f t="shared" si="64"/>
        <v>-3.6438285860918684E-2</v>
      </c>
      <c r="D1043" s="1" t="str">
        <f t="shared" ca="1" si="65"/>
        <v>=B1043/B1042-1</v>
      </c>
      <c r="E1043" s="8">
        <f>VLOOKUP(A1043,'[1]S&amp;P500_DAILY'!$A$8:$B$1768,2,0)</f>
        <v>4131.93</v>
      </c>
      <c r="F1043" s="1">
        <f t="shared" si="66"/>
        <v>-3.6284548104956182E-2</v>
      </c>
      <c r="G1043" s="1" t="str">
        <f t="shared" ca="1" si="67"/>
        <v>=E1043/E1042-1</v>
      </c>
    </row>
    <row r="1044" spans="1:7">
      <c r="A1044" s="14">
        <v>44683</v>
      </c>
      <c r="B1044" s="11">
        <f>VLOOKUP(A1044,[1]HD_price_daily!$A$8:$B$1768,2,0)</f>
        <v>306.97000000000003</v>
      </c>
      <c r="C1044">
        <f t="shared" si="64"/>
        <v>2.1870838881491439E-2</v>
      </c>
      <c r="D1044" s="1" t="str">
        <f t="shared" ca="1" si="65"/>
        <v>=B1044/B1043-1</v>
      </c>
      <c r="E1044" s="8">
        <f>VLOOKUP(A1044,'[1]S&amp;P500_DAILY'!$A$8:$B$1768,2,0)</f>
        <v>4155.38</v>
      </c>
      <c r="F1044" s="1">
        <f t="shared" si="66"/>
        <v>5.6753139573999523E-3</v>
      </c>
      <c r="G1044" s="1" t="str">
        <f t="shared" ca="1" si="67"/>
        <v>=E1044/E1043-1</v>
      </c>
    </row>
    <row r="1045" spans="1:7">
      <c r="A1045" s="14">
        <v>44684</v>
      </c>
      <c r="B1045" s="11">
        <f>VLOOKUP(A1045,[1]HD_price_daily!$A$8:$B$1768,2,0)</f>
        <v>304.95999999999998</v>
      </c>
      <c r="C1045">
        <f t="shared" si="64"/>
        <v>-6.5478711274719048E-3</v>
      </c>
      <c r="D1045" s="1" t="str">
        <f t="shared" ca="1" si="65"/>
        <v>=B1045/B1044-1</v>
      </c>
      <c r="E1045" s="8">
        <f>VLOOKUP(A1045,'[1]S&amp;P500_DAILY'!$A$8:$B$1768,2,0)</f>
        <v>4175.4799999999996</v>
      </c>
      <c r="F1045" s="1">
        <f t="shared" si="66"/>
        <v>4.8371027439124692E-3</v>
      </c>
      <c r="G1045" s="1" t="str">
        <f t="shared" ca="1" si="67"/>
        <v>=E1045/E1044-1</v>
      </c>
    </row>
    <row r="1046" spans="1:7">
      <c r="A1046" s="14">
        <v>44685</v>
      </c>
      <c r="B1046" s="11">
        <f>VLOOKUP(A1046,[1]HD_price_daily!$A$8:$B$1768,2,0)</f>
        <v>315.31</v>
      </c>
      <c r="C1046">
        <f t="shared" si="64"/>
        <v>3.3938877229800601E-2</v>
      </c>
      <c r="D1046" s="1" t="str">
        <f t="shared" ca="1" si="65"/>
        <v>=B1046/B1045-1</v>
      </c>
      <c r="E1046" s="8">
        <f>VLOOKUP(A1046,'[1]S&amp;P500_DAILY'!$A$8:$B$1768,2,0)</f>
        <v>4300.17</v>
      </c>
      <c r="F1046" s="1">
        <f t="shared" si="66"/>
        <v>2.9862434977535601E-2</v>
      </c>
      <c r="G1046" s="1" t="str">
        <f t="shared" ca="1" si="67"/>
        <v>=E1046/E1045-1</v>
      </c>
    </row>
    <row r="1047" spans="1:7">
      <c r="A1047" s="14">
        <v>44686</v>
      </c>
      <c r="B1047" s="11">
        <f>VLOOKUP(A1047,[1]HD_price_daily!$A$8:$B$1768,2,0)</f>
        <v>299.11</v>
      </c>
      <c r="C1047">
        <f t="shared" si="64"/>
        <v>-5.1378008943579245E-2</v>
      </c>
      <c r="D1047" s="1" t="str">
        <f t="shared" ca="1" si="65"/>
        <v>=B1047/B1046-1</v>
      </c>
      <c r="E1047" s="8">
        <f>VLOOKUP(A1047,'[1]S&amp;P500_DAILY'!$A$8:$B$1768,2,0)</f>
        <v>4146.87</v>
      </c>
      <c r="F1047" s="1">
        <f t="shared" si="66"/>
        <v>-3.5649753381843063E-2</v>
      </c>
      <c r="G1047" s="1" t="str">
        <f t="shared" ca="1" si="67"/>
        <v>=E1047/E1046-1</v>
      </c>
    </row>
    <row r="1048" spans="1:7">
      <c r="A1048" s="14">
        <v>44687</v>
      </c>
      <c r="B1048" s="11">
        <f>VLOOKUP(A1048,[1]HD_price_daily!$A$8:$B$1768,2,0)</f>
        <v>294.31</v>
      </c>
      <c r="C1048">
        <f t="shared" si="64"/>
        <v>-1.6047607903446948E-2</v>
      </c>
      <c r="D1048" s="1" t="str">
        <f t="shared" ca="1" si="65"/>
        <v>=B1048/B1047-1</v>
      </c>
      <c r="E1048" s="8">
        <f>VLOOKUP(A1048,'[1]S&amp;P500_DAILY'!$A$8:$B$1768,2,0)</f>
        <v>4123.34</v>
      </c>
      <c r="F1048" s="1">
        <f t="shared" si="66"/>
        <v>-5.6741590645473794E-3</v>
      </c>
      <c r="G1048" s="1" t="str">
        <f t="shared" ca="1" si="67"/>
        <v>=E1048/E1047-1</v>
      </c>
    </row>
    <row r="1049" spans="1:7">
      <c r="A1049" s="14">
        <v>44690</v>
      </c>
      <c r="B1049" s="11">
        <f>VLOOKUP(A1049,[1]HD_price_daily!$A$8:$B$1768,2,0)</f>
        <v>297.02999999999997</v>
      </c>
      <c r="C1049">
        <f t="shared" si="64"/>
        <v>9.24195576093223E-3</v>
      </c>
      <c r="D1049" s="1" t="str">
        <f t="shared" ca="1" si="65"/>
        <v>=B1049/B1048-1</v>
      </c>
      <c r="E1049" s="8">
        <f>VLOOKUP(A1049,'[1]S&amp;P500_DAILY'!$A$8:$B$1768,2,0)</f>
        <v>3991.24</v>
      </c>
      <c r="F1049" s="1">
        <f t="shared" si="66"/>
        <v>-3.2037134944001844E-2</v>
      </c>
      <c r="G1049" s="1" t="str">
        <f t="shared" ca="1" si="67"/>
        <v>=E1049/E1048-1</v>
      </c>
    </row>
    <row r="1050" spans="1:7">
      <c r="A1050" s="14">
        <v>44691</v>
      </c>
      <c r="B1050" s="11">
        <f>VLOOKUP(A1050,[1]HD_price_daily!$A$8:$B$1768,2,0)</f>
        <v>291.16000000000003</v>
      </c>
      <c r="C1050">
        <f t="shared" si="64"/>
        <v>-1.9762313571019541E-2</v>
      </c>
      <c r="D1050" s="1" t="str">
        <f t="shared" ca="1" si="65"/>
        <v>=B1050/B1049-1</v>
      </c>
      <c r="E1050" s="8">
        <f>VLOOKUP(A1050,'[1]S&amp;P500_DAILY'!$A$8:$B$1768,2,0)</f>
        <v>4001.05</v>
      </c>
      <c r="F1050" s="1">
        <f t="shared" si="66"/>
        <v>2.4578827632515399E-3</v>
      </c>
      <c r="G1050" s="1" t="str">
        <f t="shared" ca="1" si="67"/>
        <v>=E1050/E1049-1</v>
      </c>
    </row>
    <row r="1051" spans="1:7">
      <c r="A1051" s="14">
        <v>44692</v>
      </c>
      <c r="B1051" s="11">
        <f>VLOOKUP(A1051,[1]HD_price_daily!$A$8:$B$1768,2,0)</f>
        <v>282.95999999999998</v>
      </c>
      <c r="C1051">
        <f t="shared" si="64"/>
        <v>-2.8163209232037523E-2</v>
      </c>
      <c r="D1051" s="1" t="str">
        <f t="shared" ca="1" si="65"/>
        <v>=B1051/B1050-1</v>
      </c>
      <c r="E1051" s="8">
        <f>VLOOKUP(A1051,'[1]S&amp;P500_DAILY'!$A$8:$B$1768,2,0)</f>
        <v>3935.18</v>
      </c>
      <c r="F1051" s="1">
        <f t="shared" si="66"/>
        <v>-1.6463178415666024E-2</v>
      </c>
      <c r="G1051" s="1" t="str">
        <f t="shared" ca="1" si="67"/>
        <v>=E1051/E1050-1</v>
      </c>
    </row>
    <row r="1052" spans="1:7">
      <c r="A1052" s="14">
        <v>44693</v>
      </c>
      <c r="B1052" s="11">
        <f>VLOOKUP(A1052,[1]HD_price_daily!$A$8:$B$1768,2,0)</f>
        <v>289.69</v>
      </c>
      <c r="C1052">
        <f t="shared" si="64"/>
        <v>2.3784280463669871E-2</v>
      </c>
      <c r="D1052" s="1" t="str">
        <f t="shared" ca="1" si="65"/>
        <v>=B1052/B1051-1</v>
      </c>
      <c r="E1052" s="8">
        <f>VLOOKUP(A1052,'[1]S&amp;P500_DAILY'!$A$8:$B$1768,2,0)</f>
        <v>3930.08</v>
      </c>
      <c r="F1052" s="1">
        <f t="shared" si="66"/>
        <v>-1.2960017076728558E-3</v>
      </c>
      <c r="G1052" s="1" t="str">
        <f t="shared" ca="1" si="67"/>
        <v>=E1052/E1051-1</v>
      </c>
    </row>
    <row r="1053" spans="1:7">
      <c r="A1053" s="14">
        <v>44694</v>
      </c>
      <c r="B1053" s="11">
        <f>VLOOKUP(A1053,[1]HD_price_daily!$A$8:$B$1768,2,0)</f>
        <v>296.02999999999997</v>
      </c>
      <c r="C1053">
        <f t="shared" si="64"/>
        <v>2.188546377161793E-2</v>
      </c>
      <c r="D1053" s="1" t="str">
        <f t="shared" ca="1" si="65"/>
        <v>=B1053/B1052-1</v>
      </c>
      <c r="E1053" s="8">
        <f>VLOOKUP(A1053,'[1]S&amp;P500_DAILY'!$A$8:$B$1768,2,0)</f>
        <v>4023.89</v>
      </c>
      <c r="F1053" s="1">
        <f t="shared" si="66"/>
        <v>2.386974310955492E-2</v>
      </c>
      <c r="G1053" s="1" t="str">
        <f t="shared" ca="1" si="67"/>
        <v>=E1053/E1052-1</v>
      </c>
    </row>
    <row r="1054" spans="1:7">
      <c r="A1054" s="14">
        <v>44697</v>
      </c>
      <c r="B1054" s="11">
        <f>VLOOKUP(A1054,[1]HD_price_daily!$A$8:$B$1768,2,0)</f>
        <v>295.99</v>
      </c>
      <c r="C1054">
        <f t="shared" si="64"/>
        <v>-1.3512144039440344E-4</v>
      </c>
      <c r="D1054" s="1" t="str">
        <f t="shared" ca="1" si="65"/>
        <v>=B1054/B1053-1</v>
      </c>
      <c r="E1054" s="8">
        <f>VLOOKUP(A1054,'[1]S&amp;P500_DAILY'!$A$8:$B$1768,2,0)</f>
        <v>4008.01</v>
      </c>
      <c r="F1054" s="1">
        <f t="shared" si="66"/>
        <v>-3.9464299471405617E-3</v>
      </c>
      <c r="G1054" s="1" t="str">
        <f t="shared" ca="1" si="67"/>
        <v>=E1054/E1053-1</v>
      </c>
    </row>
    <row r="1055" spans="1:7">
      <c r="A1055" s="14">
        <v>44698</v>
      </c>
      <c r="B1055" s="11">
        <f>VLOOKUP(A1055,[1]HD_price_daily!$A$8:$B$1768,2,0)</f>
        <v>300.95</v>
      </c>
      <c r="C1055">
        <f t="shared" si="64"/>
        <v>1.6757322882529735E-2</v>
      </c>
      <c r="D1055" s="1" t="str">
        <f t="shared" ca="1" si="65"/>
        <v>=B1055/B1054-1</v>
      </c>
      <c r="E1055" s="8">
        <f>VLOOKUP(A1055,'[1]S&amp;P500_DAILY'!$A$8:$B$1768,2,0)</f>
        <v>4088.85</v>
      </c>
      <c r="F1055" s="1">
        <f t="shared" si="66"/>
        <v>2.0169610355263545E-2</v>
      </c>
      <c r="G1055" s="1" t="str">
        <f t="shared" ca="1" si="67"/>
        <v>=E1055/E1054-1</v>
      </c>
    </row>
    <row r="1056" spans="1:7">
      <c r="A1056" s="14">
        <v>44699</v>
      </c>
      <c r="B1056" s="11">
        <f>VLOOKUP(A1056,[1]HD_price_daily!$A$8:$B$1768,2,0)</f>
        <v>285.18</v>
      </c>
      <c r="C1056">
        <f t="shared" si="64"/>
        <v>-5.240073101844156E-2</v>
      </c>
      <c r="D1056" s="1" t="str">
        <f t="shared" ca="1" si="65"/>
        <v>=B1056/B1055-1</v>
      </c>
      <c r="E1056" s="8">
        <f>VLOOKUP(A1056,'[1]S&amp;P500_DAILY'!$A$8:$B$1768,2,0)</f>
        <v>3923.68</v>
      </c>
      <c r="F1056" s="1">
        <f t="shared" si="66"/>
        <v>-4.0395221150201222E-2</v>
      </c>
      <c r="G1056" s="1" t="str">
        <f t="shared" ca="1" si="67"/>
        <v>=E1056/E1055-1</v>
      </c>
    </row>
    <row r="1057" spans="1:7">
      <c r="A1057" s="14">
        <v>44700</v>
      </c>
      <c r="B1057" s="11">
        <f>VLOOKUP(A1057,[1]HD_price_daily!$A$8:$B$1768,2,0)</f>
        <v>287.76</v>
      </c>
      <c r="C1057">
        <f t="shared" si="64"/>
        <v>9.0469177361665043E-3</v>
      </c>
      <c r="D1057" s="1" t="str">
        <f t="shared" ca="1" si="65"/>
        <v>=B1057/B1056-1</v>
      </c>
      <c r="E1057" s="8">
        <f>VLOOKUP(A1057,'[1]S&amp;P500_DAILY'!$A$8:$B$1768,2,0)</f>
        <v>3900.79</v>
      </c>
      <c r="F1057" s="1">
        <f t="shared" si="66"/>
        <v>-5.8338090771927753E-3</v>
      </c>
      <c r="G1057" s="1" t="str">
        <f t="shared" ca="1" si="67"/>
        <v>=E1057/E1056-1</v>
      </c>
    </row>
    <row r="1058" spans="1:7">
      <c r="A1058" s="14">
        <v>44701</v>
      </c>
      <c r="B1058" s="11">
        <f>VLOOKUP(A1058,[1]HD_price_daily!$A$8:$B$1768,2,0)</f>
        <v>287.19</v>
      </c>
      <c r="C1058">
        <f t="shared" si="64"/>
        <v>-1.980817347789765E-3</v>
      </c>
      <c r="D1058" s="1" t="str">
        <f t="shared" ca="1" si="65"/>
        <v>=B1058/B1057-1</v>
      </c>
      <c r="E1058" s="8">
        <f>VLOOKUP(A1058,'[1]S&amp;P500_DAILY'!$A$8:$B$1768,2,0)</f>
        <v>3901.36</v>
      </c>
      <c r="F1058" s="1">
        <f t="shared" si="66"/>
        <v>1.4612424662696633E-4</v>
      </c>
      <c r="G1058" s="1" t="str">
        <f t="shared" ca="1" si="67"/>
        <v>=E1058/E1057-1</v>
      </c>
    </row>
    <row r="1059" spans="1:7">
      <c r="A1059" s="14">
        <v>44704</v>
      </c>
      <c r="B1059" s="11">
        <f>VLOOKUP(A1059,[1]HD_price_daily!$A$8:$B$1768,2,0)</f>
        <v>286.02999999999997</v>
      </c>
      <c r="C1059">
        <f t="shared" si="64"/>
        <v>-4.0391378529893718E-3</v>
      </c>
      <c r="D1059" s="1" t="str">
        <f t="shared" ca="1" si="65"/>
        <v>=B1059/B1058-1</v>
      </c>
      <c r="E1059" s="8">
        <f>VLOOKUP(A1059,'[1]S&amp;P500_DAILY'!$A$8:$B$1768,2,0)</f>
        <v>3973.75</v>
      </c>
      <c r="F1059" s="1">
        <f t="shared" si="66"/>
        <v>1.8555067976295359E-2</v>
      </c>
      <c r="G1059" s="1" t="str">
        <f t="shared" ca="1" si="67"/>
        <v>=E1059/E1058-1</v>
      </c>
    </row>
    <row r="1060" spans="1:7">
      <c r="A1060" s="14">
        <v>44705</v>
      </c>
      <c r="B1060" s="11">
        <f>VLOOKUP(A1060,[1]HD_price_daily!$A$8:$B$1768,2,0)</f>
        <v>287.92</v>
      </c>
      <c r="C1060">
        <f t="shared" si="64"/>
        <v>6.607698493165115E-3</v>
      </c>
      <c r="D1060" s="1" t="str">
        <f t="shared" ca="1" si="65"/>
        <v>=B1060/B1059-1</v>
      </c>
      <c r="E1060" s="8">
        <f>VLOOKUP(A1060,'[1]S&amp;P500_DAILY'!$A$8:$B$1768,2,0)</f>
        <v>3941.48</v>
      </c>
      <c r="F1060" s="1">
        <f t="shared" si="66"/>
        <v>-8.1207927021075266E-3</v>
      </c>
      <c r="G1060" s="1" t="str">
        <f t="shared" ca="1" si="67"/>
        <v>=E1060/E1059-1</v>
      </c>
    </row>
    <row r="1061" spans="1:7">
      <c r="A1061" s="14">
        <v>44706</v>
      </c>
      <c r="B1061" s="11">
        <f>VLOOKUP(A1061,[1]HD_price_daily!$A$8:$B$1768,2,0)</f>
        <v>293.57</v>
      </c>
      <c r="C1061">
        <f t="shared" si="64"/>
        <v>1.962350652959155E-2</v>
      </c>
      <c r="D1061" s="1" t="str">
        <f t="shared" ca="1" si="65"/>
        <v>=B1061/B1060-1</v>
      </c>
      <c r="E1061" s="8">
        <f>VLOOKUP(A1061,'[1]S&amp;P500_DAILY'!$A$8:$B$1768,2,0)</f>
        <v>3978.73</v>
      </c>
      <c r="F1061" s="1">
        <f t="shared" si="66"/>
        <v>9.4507646873762674E-3</v>
      </c>
      <c r="G1061" s="1" t="str">
        <f t="shared" ca="1" si="67"/>
        <v>=E1061/E1060-1</v>
      </c>
    </row>
    <row r="1062" spans="1:7">
      <c r="A1062" s="14">
        <v>44707</v>
      </c>
      <c r="B1062" s="11">
        <f>VLOOKUP(A1062,[1]HD_price_daily!$A$8:$B$1768,2,0)</f>
        <v>302.81</v>
      </c>
      <c r="C1062">
        <f t="shared" si="64"/>
        <v>3.147460571584304E-2</v>
      </c>
      <c r="D1062" s="1" t="str">
        <f t="shared" ca="1" si="65"/>
        <v>=B1062/B1061-1</v>
      </c>
      <c r="E1062" s="8">
        <f>VLOOKUP(A1062,'[1]S&amp;P500_DAILY'!$A$8:$B$1768,2,0)</f>
        <v>4057.84</v>
      </c>
      <c r="F1062" s="1">
        <f t="shared" si="66"/>
        <v>1.988322907058282E-2</v>
      </c>
      <c r="G1062" s="1" t="str">
        <f t="shared" ca="1" si="67"/>
        <v>=E1062/E1061-1</v>
      </c>
    </row>
    <row r="1063" spans="1:7">
      <c r="A1063" s="14">
        <v>44708</v>
      </c>
      <c r="B1063" s="11">
        <f>VLOOKUP(A1063,[1]HD_price_daily!$A$8:$B$1768,2,0)</f>
        <v>308.45999999999998</v>
      </c>
      <c r="C1063">
        <f t="shared" si="64"/>
        <v>1.8658564776592446E-2</v>
      </c>
      <c r="D1063" s="1" t="str">
        <f t="shared" ca="1" si="65"/>
        <v>=B1063/B1062-1</v>
      </c>
      <c r="E1063" s="8">
        <f>VLOOKUP(A1063,'[1]S&amp;P500_DAILY'!$A$8:$B$1768,2,0)</f>
        <v>4158.24</v>
      </c>
      <c r="F1063" s="1">
        <f t="shared" si="66"/>
        <v>2.4742227391912897E-2</v>
      </c>
      <c r="G1063" s="1" t="str">
        <f t="shared" ca="1" si="67"/>
        <v>=E1063/E1062-1</v>
      </c>
    </row>
    <row r="1064" spans="1:7">
      <c r="A1064" s="14">
        <v>44712</v>
      </c>
      <c r="B1064" s="11">
        <f>VLOOKUP(A1064,[1]HD_price_daily!$A$8:$B$1768,2,0)</f>
        <v>302.75</v>
      </c>
      <c r="C1064">
        <f t="shared" si="64"/>
        <v>-1.851131427089403E-2</v>
      </c>
      <c r="D1064" s="1" t="str">
        <f t="shared" ca="1" si="65"/>
        <v>=B1064/B1063-1</v>
      </c>
      <c r="E1064" s="8">
        <f>VLOOKUP(A1064,'[1]S&amp;P500_DAILY'!$A$8:$B$1768,2,0)</f>
        <v>4132.1499999999996</v>
      </c>
      <c r="F1064" s="1">
        <f t="shared" si="66"/>
        <v>-6.2742891223209751E-3</v>
      </c>
      <c r="G1064" s="1" t="str">
        <f t="shared" ca="1" si="67"/>
        <v>=E1064/E1063-1</v>
      </c>
    </row>
    <row r="1065" spans="1:7">
      <c r="A1065" s="14">
        <v>44713</v>
      </c>
      <c r="B1065" s="11">
        <f>VLOOKUP(A1065,[1]HD_price_daily!$A$8:$B$1768,2,0)</f>
        <v>297.19</v>
      </c>
      <c r="C1065">
        <f t="shared" si="64"/>
        <v>-1.8364987613542549E-2</v>
      </c>
      <c r="D1065" s="1" t="str">
        <f t="shared" ca="1" si="65"/>
        <v>=B1065/B1064-1</v>
      </c>
      <c r="E1065" s="8">
        <f>VLOOKUP(A1065,'[1]S&amp;P500_DAILY'!$A$8:$B$1768,2,0)</f>
        <v>4101.2299999999996</v>
      </c>
      <c r="F1065" s="1">
        <f t="shared" si="66"/>
        <v>-7.4827874109120174E-3</v>
      </c>
      <c r="G1065" s="1" t="str">
        <f t="shared" ca="1" si="67"/>
        <v>=E1065/E1064-1</v>
      </c>
    </row>
    <row r="1066" spans="1:7">
      <c r="A1066" s="14">
        <v>44714</v>
      </c>
      <c r="B1066" s="11">
        <f>VLOOKUP(A1066,[1]HD_price_daily!$A$8:$B$1768,2,0)</f>
        <v>305.87</v>
      </c>
      <c r="C1066">
        <f t="shared" si="64"/>
        <v>2.9206904673777734E-2</v>
      </c>
      <c r="D1066" s="1" t="str">
        <f t="shared" ca="1" si="65"/>
        <v>=B1066/B1065-1</v>
      </c>
      <c r="E1066" s="8">
        <f>VLOOKUP(A1066,'[1]S&amp;P500_DAILY'!$A$8:$B$1768,2,0)</f>
        <v>4176.82</v>
      </c>
      <c r="F1066" s="1">
        <f t="shared" si="66"/>
        <v>1.8431056049039052E-2</v>
      </c>
      <c r="G1066" s="1" t="str">
        <f t="shared" ca="1" si="67"/>
        <v>=E1066/E1065-1</v>
      </c>
    </row>
    <row r="1067" spans="1:7">
      <c r="A1067" s="14">
        <v>44715</v>
      </c>
      <c r="B1067" s="11">
        <f>VLOOKUP(A1067,[1]HD_price_daily!$A$8:$B$1768,2,0)</f>
        <v>305.08</v>
      </c>
      <c r="C1067">
        <f t="shared" si="64"/>
        <v>-2.5827966129402524E-3</v>
      </c>
      <c r="D1067" s="1" t="str">
        <f t="shared" ca="1" si="65"/>
        <v>=B1067/B1066-1</v>
      </c>
      <c r="E1067" s="8">
        <f>VLOOKUP(A1067,'[1]S&amp;P500_DAILY'!$A$8:$B$1768,2,0)</f>
        <v>4108.54</v>
      </c>
      <c r="F1067" s="1">
        <f t="shared" si="66"/>
        <v>-1.6347364741597592E-2</v>
      </c>
      <c r="G1067" s="1" t="str">
        <f t="shared" ca="1" si="67"/>
        <v>=E1067/E1066-1</v>
      </c>
    </row>
    <row r="1068" spans="1:7">
      <c r="A1068" s="14">
        <v>44718</v>
      </c>
      <c r="B1068" s="11">
        <f>VLOOKUP(A1068,[1]HD_price_daily!$A$8:$B$1768,2,0)</f>
        <v>303.89</v>
      </c>
      <c r="C1068">
        <f t="shared" si="64"/>
        <v>-3.9006162318080406E-3</v>
      </c>
      <c r="D1068" s="1" t="str">
        <f t="shared" ca="1" si="65"/>
        <v>=B1068/B1067-1</v>
      </c>
      <c r="E1068" s="8">
        <f>VLOOKUP(A1068,'[1]S&amp;P500_DAILY'!$A$8:$B$1768,2,0)</f>
        <v>4121.43</v>
      </c>
      <c r="F1068" s="1">
        <f t="shared" si="66"/>
        <v>3.1373675320187644E-3</v>
      </c>
      <c r="G1068" s="1" t="str">
        <f t="shared" ca="1" si="67"/>
        <v>=E1068/E1067-1</v>
      </c>
    </row>
    <row r="1069" spans="1:7">
      <c r="A1069" s="14">
        <v>44719</v>
      </c>
      <c r="B1069" s="11">
        <f>VLOOKUP(A1069,[1]HD_price_daily!$A$8:$B$1768,2,0)</f>
        <v>301.77</v>
      </c>
      <c r="C1069">
        <f t="shared" si="64"/>
        <v>-6.9762084964954951E-3</v>
      </c>
      <c r="D1069" s="1" t="str">
        <f t="shared" ca="1" si="65"/>
        <v>=B1069/B1068-1</v>
      </c>
      <c r="E1069" s="8">
        <f>VLOOKUP(A1069,'[1]S&amp;P500_DAILY'!$A$8:$B$1768,2,0)</f>
        <v>4160.68</v>
      </c>
      <c r="F1069" s="1">
        <f t="shared" si="66"/>
        <v>9.5233935794130087E-3</v>
      </c>
      <c r="G1069" s="1" t="str">
        <f t="shared" ca="1" si="67"/>
        <v>=E1069/E1068-1</v>
      </c>
    </row>
    <row r="1070" spans="1:7">
      <c r="A1070" s="14">
        <v>44720</v>
      </c>
      <c r="B1070" s="11">
        <f>VLOOKUP(A1070,[1]HD_price_daily!$A$8:$B$1768,2,0)</f>
        <v>297.52999999999997</v>
      </c>
      <c r="C1070">
        <f t="shared" si="64"/>
        <v>-1.4050435762335556E-2</v>
      </c>
      <c r="D1070" s="1" t="str">
        <f t="shared" ca="1" si="65"/>
        <v>=B1070/B1069-1</v>
      </c>
      <c r="E1070" s="8">
        <f>VLOOKUP(A1070,'[1]S&amp;P500_DAILY'!$A$8:$B$1768,2,0)</f>
        <v>4115.7700000000004</v>
      </c>
      <c r="F1070" s="1">
        <f t="shared" si="66"/>
        <v>-1.0793908688002896E-2</v>
      </c>
      <c r="G1070" s="1" t="str">
        <f t="shared" ca="1" si="67"/>
        <v>=E1070/E1069-1</v>
      </c>
    </row>
    <row r="1071" spans="1:7">
      <c r="A1071" s="14">
        <v>44721</v>
      </c>
      <c r="B1071" s="11">
        <f>VLOOKUP(A1071,[1]HD_price_daily!$A$8:$B$1768,2,0)</f>
        <v>299.86</v>
      </c>
      <c r="C1071">
        <f t="shared" si="64"/>
        <v>7.8311430780091396E-3</v>
      </c>
      <c r="D1071" s="1" t="str">
        <f t="shared" ca="1" si="65"/>
        <v>=B1071/B1070-1</v>
      </c>
      <c r="E1071" s="8">
        <f>VLOOKUP(A1071,'[1]S&amp;P500_DAILY'!$A$8:$B$1768,2,0)</f>
        <v>4017.82</v>
      </c>
      <c r="F1071" s="1">
        <f t="shared" si="66"/>
        <v>-2.3798705952956634E-2</v>
      </c>
      <c r="G1071" s="1" t="str">
        <f t="shared" ca="1" si="67"/>
        <v>=E1071/E1070-1</v>
      </c>
    </row>
    <row r="1072" spans="1:7">
      <c r="A1072" s="14">
        <v>44722</v>
      </c>
      <c r="B1072" s="11">
        <f>VLOOKUP(A1072,[1]HD_price_daily!$A$8:$B$1768,2,0)</f>
        <v>289.24</v>
      </c>
      <c r="C1072">
        <f t="shared" si="64"/>
        <v>-3.5416527712932688E-2</v>
      </c>
      <c r="D1072" s="1" t="str">
        <f t="shared" ca="1" si="65"/>
        <v>=B1072/B1071-1</v>
      </c>
      <c r="E1072" s="8">
        <f>VLOOKUP(A1072,'[1]S&amp;P500_DAILY'!$A$8:$B$1768,2,0)</f>
        <v>3900.86</v>
      </c>
      <c r="F1072" s="1">
        <f t="shared" si="66"/>
        <v>-2.9110313553120881E-2</v>
      </c>
      <c r="G1072" s="1" t="str">
        <f t="shared" ca="1" si="67"/>
        <v>=E1072/E1071-1</v>
      </c>
    </row>
    <row r="1073" spans="1:7">
      <c r="A1073" s="14">
        <v>44725</v>
      </c>
      <c r="B1073" s="11">
        <f>VLOOKUP(A1073,[1]HD_price_daily!$A$8:$B$1768,2,0)</f>
        <v>283.16000000000003</v>
      </c>
      <c r="C1073">
        <f t="shared" si="64"/>
        <v>-2.102060572534914E-2</v>
      </c>
      <c r="D1073" s="1" t="str">
        <f t="shared" ca="1" si="65"/>
        <v>=B1073/B1072-1</v>
      </c>
      <c r="E1073" s="8">
        <f>VLOOKUP(A1073,'[1]S&amp;P500_DAILY'!$A$8:$B$1768,2,0)</f>
        <v>3749.63</v>
      </c>
      <c r="F1073" s="1">
        <f t="shared" si="66"/>
        <v>-3.8768374153391849E-2</v>
      </c>
      <c r="G1073" s="1" t="str">
        <f t="shared" ca="1" si="67"/>
        <v>=E1073/E1072-1</v>
      </c>
    </row>
    <row r="1074" spans="1:7">
      <c r="A1074" s="14">
        <v>44726</v>
      </c>
      <c r="B1074" s="11">
        <f>VLOOKUP(A1074,[1]HD_price_daily!$A$8:$B$1768,2,0)</f>
        <v>278.67</v>
      </c>
      <c r="C1074">
        <f t="shared" si="64"/>
        <v>-1.5856759429297984E-2</v>
      </c>
      <c r="D1074" s="1" t="str">
        <f t="shared" ca="1" si="65"/>
        <v>=B1074/B1073-1</v>
      </c>
      <c r="E1074" s="8">
        <f>VLOOKUP(A1074,'[1]S&amp;P500_DAILY'!$A$8:$B$1768,2,0)</f>
        <v>3735.48</v>
      </c>
      <c r="F1074" s="1">
        <f t="shared" si="66"/>
        <v>-3.7737056722930706E-3</v>
      </c>
      <c r="G1074" s="1" t="str">
        <f t="shared" ca="1" si="67"/>
        <v>=E1074/E1073-1</v>
      </c>
    </row>
    <row r="1075" spans="1:7">
      <c r="A1075" s="14">
        <v>44727</v>
      </c>
      <c r="B1075" s="11">
        <f>VLOOKUP(A1075,[1]HD_price_daily!$A$8:$B$1768,2,0)</f>
        <v>279.73</v>
      </c>
      <c r="C1075">
        <f t="shared" si="64"/>
        <v>3.8037822514085384E-3</v>
      </c>
      <c r="D1075" s="1" t="str">
        <f t="shared" ca="1" si="65"/>
        <v>=B1075/B1074-1</v>
      </c>
      <c r="E1075" s="8">
        <f>VLOOKUP(A1075,'[1]S&amp;P500_DAILY'!$A$8:$B$1768,2,0)</f>
        <v>3789.99</v>
      </c>
      <c r="F1075" s="1">
        <f t="shared" si="66"/>
        <v>1.4592502168395916E-2</v>
      </c>
      <c r="G1075" s="1" t="str">
        <f t="shared" ca="1" si="67"/>
        <v>=E1075/E1074-1</v>
      </c>
    </row>
    <row r="1076" spans="1:7">
      <c r="A1076" s="14">
        <v>44728</v>
      </c>
      <c r="B1076" s="11">
        <f>VLOOKUP(A1076,[1]HD_price_daily!$A$8:$B$1768,2,0)</f>
        <v>273.45999999999998</v>
      </c>
      <c r="C1076">
        <f t="shared" si="64"/>
        <v>-2.2414471097129463E-2</v>
      </c>
      <c r="D1076" s="1" t="str">
        <f t="shared" ca="1" si="65"/>
        <v>=B1076/B1075-1</v>
      </c>
      <c r="E1076" s="8">
        <f>VLOOKUP(A1076,'[1]S&amp;P500_DAILY'!$A$8:$B$1768,2,0)</f>
        <v>3666.77</v>
      </c>
      <c r="F1076" s="1">
        <f t="shared" si="66"/>
        <v>-3.2511959134456814E-2</v>
      </c>
      <c r="G1076" s="1" t="str">
        <f t="shared" ca="1" si="67"/>
        <v>=E1076/E1075-1</v>
      </c>
    </row>
    <row r="1077" spans="1:7">
      <c r="A1077" s="14">
        <v>44729</v>
      </c>
      <c r="B1077" s="11">
        <f>VLOOKUP(A1077,[1]HD_price_daily!$A$8:$B$1768,2,0)</f>
        <v>270.73</v>
      </c>
      <c r="C1077">
        <f t="shared" si="64"/>
        <v>-9.983178527023906E-3</v>
      </c>
      <c r="D1077" s="1" t="str">
        <f t="shared" ca="1" si="65"/>
        <v>=B1077/B1076-1</v>
      </c>
      <c r="E1077" s="8">
        <f>VLOOKUP(A1077,'[1]S&amp;P500_DAILY'!$A$8:$B$1768,2,0)</f>
        <v>3674.84</v>
      </c>
      <c r="F1077" s="1">
        <f t="shared" si="66"/>
        <v>2.2008470670371594E-3</v>
      </c>
      <c r="G1077" s="1" t="str">
        <f t="shared" ca="1" si="67"/>
        <v>=E1077/E1076-1</v>
      </c>
    </row>
    <row r="1078" spans="1:7">
      <c r="A1078" s="14">
        <v>44733</v>
      </c>
      <c r="B1078" s="11">
        <f>VLOOKUP(A1078,[1]HD_price_daily!$A$8:$B$1768,2,0)</f>
        <v>269.2</v>
      </c>
      <c r="C1078">
        <f t="shared" si="64"/>
        <v>-5.6513869907288683E-3</v>
      </c>
      <c r="D1078" s="1" t="str">
        <f t="shared" ca="1" si="65"/>
        <v>=B1078/B1077-1</v>
      </c>
      <c r="E1078" s="8">
        <f>VLOOKUP(A1078,'[1]S&amp;P500_DAILY'!$A$8:$B$1768,2,0)</f>
        <v>3764.79</v>
      </c>
      <c r="F1078" s="1">
        <f t="shared" si="66"/>
        <v>2.447725615264873E-2</v>
      </c>
      <c r="G1078" s="1" t="str">
        <f t="shared" ca="1" si="67"/>
        <v>=E1078/E1077-1</v>
      </c>
    </row>
    <row r="1079" spans="1:7">
      <c r="A1079" s="14">
        <v>44734</v>
      </c>
      <c r="B1079" s="11">
        <f>VLOOKUP(A1079,[1]HD_price_daily!$A$8:$B$1768,2,0)</f>
        <v>268.98</v>
      </c>
      <c r="C1079">
        <f t="shared" si="64"/>
        <v>-8.1723625557195145E-4</v>
      </c>
      <c r="D1079" s="1" t="str">
        <f t="shared" ca="1" si="65"/>
        <v>=B1079/B1078-1</v>
      </c>
      <c r="E1079" s="8">
        <f>VLOOKUP(A1079,'[1]S&amp;P500_DAILY'!$A$8:$B$1768,2,0)</f>
        <v>3759.89</v>
      </c>
      <c r="F1079" s="1">
        <f t="shared" si="66"/>
        <v>-1.3015334188627437E-3</v>
      </c>
      <c r="G1079" s="1" t="str">
        <f t="shared" ca="1" si="67"/>
        <v>=E1079/E1078-1</v>
      </c>
    </row>
    <row r="1080" spans="1:7">
      <c r="A1080" s="14">
        <v>44735</v>
      </c>
      <c r="B1080" s="11">
        <f>VLOOKUP(A1080,[1]HD_price_daily!$A$8:$B$1768,2,0)</f>
        <v>275.42</v>
      </c>
      <c r="C1080">
        <f t="shared" si="64"/>
        <v>2.3942300542791228E-2</v>
      </c>
      <c r="D1080" s="1" t="str">
        <f t="shared" ca="1" si="65"/>
        <v>=B1080/B1079-1</v>
      </c>
      <c r="E1080" s="8">
        <f>VLOOKUP(A1080,'[1]S&amp;P500_DAILY'!$A$8:$B$1768,2,0)</f>
        <v>3795.73</v>
      </c>
      <c r="F1080" s="1">
        <f t="shared" si="66"/>
        <v>9.5321937609877949E-3</v>
      </c>
      <c r="G1080" s="1" t="str">
        <f t="shared" ca="1" si="67"/>
        <v>=E1080/E1079-1</v>
      </c>
    </row>
    <row r="1081" spans="1:7">
      <c r="A1081" s="14">
        <v>44736</v>
      </c>
      <c r="B1081" s="11">
        <f>VLOOKUP(A1081,[1]HD_price_daily!$A$8:$B$1768,2,0)</f>
        <v>283</v>
      </c>
      <c r="C1081">
        <f t="shared" si="64"/>
        <v>2.7521603369399461E-2</v>
      </c>
      <c r="D1081" s="1" t="str">
        <f t="shared" ca="1" si="65"/>
        <v>=B1081/B1080-1</v>
      </c>
      <c r="E1081" s="8">
        <f>VLOOKUP(A1081,'[1]S&amp;P500_DAILY'!$A$8:$B$1768,2,0)</f>
        <v>3911.74</v>
      </c>
      <c r="F1081" s="1">
        <f t="shared" si="66"/>
        <v>3.0563290855777359E-2</v>
      </c>
      <c r="G1081" s="1" t="str">
        <f t="shared" ca="1" si="67"/>
        <v>=E1081/E1080-1</v>
      </c>
    </row>
    <row r="1082" spans="1:7">
      <c r="A1082" s="14">
        <v>44739</v>
      </c>
      <c r="B1082" s="11">
        <f>VLOOKUP(A1082,[1]HD_price_daily!$A$8:$B$1768,2,0)</f>
        <v>282.69</v>
      </c>
      <c r="C1082">
        <f t="shared" si="64"/>
        <v>-1.0954063604240449E-3</v>
      </c>
      <c r="D1082" s="1" t="str">
        <f t="shared" ca="1" si="65"/>
        <v>=B1082/B1081-1</v>
      </c>
      <c r="E1082" s="8">
        <f>VLOOKUP(A1082,'[1]S&amp;P500_DAILY'!$A$8:$B$1768,2,0)</f>
        <v>3900.11</v>
      </c>
      <c r="F1082" s="1">
        <f t="shared" si="66"/>
        <v>-2.973101484249896E-3</v>
      </c>
      <c r="G1082" s="1" t="str">
        <f t="shared" ca="1" si="67"/>
        <v>=E1082/E1081-1</v>
      </c>
    </row>
    <row r="1083" spans="1:7">
      <c r="A1083" s="14">
        <v>44740</v>
      </c>
      <c r="B1083" s="11">
        <f>VLOOKUP(A1083,[1]HD_price_daily!$A$8:$B$1768,2,0)</f>
        <v>270.14999999999998</v>
      </c>
      <c r="C1083">
        <f t="shared" si="64"/>
        <v>-4.4359545792210575E-2</v>
      </c>
      <c r="D1083" s="1" t="str">
        <f t="shared" ca="1" si="65"/>
        <v>=B1083/B1082-1</v>
      </c>
      <c r="E1083" s="8">
        <f>VLOOKUP(A1083,'[1]S&amp;P500_DAILY'!$A$8:$B$1768,2,0)</f>
        <v>3821.55</v>
      </c>
      <c r="F1083" s="1">
        <f t="shared" si="66"/>
        <v>-2.0143021607082812E-2</v>
      </c>
      <c r="G1083" s="1" t="str">
        <f t="shared" ca="1" si="67"/>
        <v>=E1083/E1082-1</v>
      </c>
    </row>
    <row r="1084" spans="1:7">
      <c r="A1084" s="14">
        <v>44741</v>
      </c>
      <c r="B1084" s="11">
        <f>VLOOKUP(A1084,[1]HD_price_daily!$A$8:$B$1768,2,0)</f>
        <v>273.87</v>
      </c>
      <c r="C1084">
        <f t="shared" si="64"/>
        <v>1.3770127706829616E-2</v>
      </c>
      <c r="D1084" s="1" t="str">
        <f t="shared" ca="1" si="65"/>
        <v>=B1084/B1083-1</v>
      </c>
      <c r="E1084" s="8">
        <f>VLOOKUP(A1084,'[1]S&amp;P500_DAILY'!$A$8:$B$1768,2,0)</f>
        <v>3818.83</v>
      </c>
      <c r="F1084" s="1">
        <f t="shared" si="66"/>
        <v>-7.1175308448145902E-4</v>
      </c>
      <c r="G1084" s="1" t="str">
        <f t="shared" ca="1" si="67"/>
        <v>=E1084/E1083-1</v>
      </c>
    </row>
    <row r="1085" spans="1:7">
      <c r="A1085" s="14">
        <v>44742</v>
      </c>
      <c r="B1085" s="11">
        <f>VLOOKUP(A1085,[1]HD_price_daily!$A$8:$B$1768,2,0)</f>
        <v>274.27</v>
      </c>
      <c r="C1085">
        <f t="shared" si="64"/>
        <v>1.4605469748421029E-3</v>
      </c>
      <c r="D1085" s="1" t="str">
        <f t="shared" ca="1" si="65"/>
        <v>=B1085/B1084-1</v>
      </c>
      <c r="E1085" s="8">
        <f>VLOOKUP(A1085,'[1]S&amp;P500_DAILY'!$A$8:$B$1768,2,0)</f>
        <v>3785.38</v>
      </c>
      <c r="F1085" s="1">
        <f t="shared" si="66"/>
        <v>-8.7592273026031453E-3</v>
      </c>
      <c r="G1085" s="1" t="str">
        <f t="shared" ca="1" si="67"/>
        <v>=E1085/E1084-1</v>
      </c>
    </row>
    <row r="1086" spans="1:7">
      <c r="A1086" s="14">
        <v>44743</v>
      </c>
      <c r="B1086" s="11">
        <f>VLOOKUP(A1086,[1]HD_price_daily!$A$8:$B$1768,2,0)</f>
        <v>279.08</v>
      </c>
      <c r="C1086">
        <f t="shared" si="64"/>
        <v>1.7537463083822535E-2</v>
      </c>
      <c r="D1086" s="1" t="str">
        <f t="shared" ca="1" si="65"/>
        <v>=B1086/B1085-1</v>
      </c>
      <c r="E1086" s="8">
        <f>VLOOKUP(A1086,'[1]S&amp;P500_DAILY'!$A$8:$B$1768,2,0)</f>
        <v>3825.33</v>
      </c>
      <c r="F1086" s="1">
        <f t="shared" si="66"/>
        <v>1.0553762105785847E-2</v>
      </c>
      <c r="G1086" s="1" t="str">
        <f t="shared" ca="1" si="67"/>
        <v>=E1086/E1085-1</v>
      </c>
    </row>
    <row r="1087" spans="1:7">
      <c r="A1087" s="14">
        <v>44747</v>
      </c>
      <c r="B1087" s="11">
        <f>VLOOKUP(A1087,[1]HD_price_daily!$A$8:$B$1768,2,0)</f>
        <v>283.73</v>
      </c>
      <c r="C1087">
        <f t="shared" si="64"/>
        <v>1.6661889064067736E-2</v>
      </c>
      <c r="D1087" s="1" t="str">
        <f t="shared" ca="1" si="65"/>
        <v>=B1087/B1086-1</v>
      </c>
      <c r="E1087" s="8">
        <f>VLOOKUP(A1087,'[1]S&amp;P500_DAILY'!$A$8:$B$1768,2,0)</f>
        <v>3831.39</v>
      </c>
      <c r="F1087" s="1">
        <f t="shared" si="66"/>
        <v>1.5841770513915776E-3</v>
      </c>
      <c r="G1087" s="1" t="str">
        <f t="shared" ca="1" si="67"/>
        <v>=E1087/E1086-1</v>
      </c>
    </row>
    <row r="1088" spans="1:7">
      <c r="A1088" s="14">
        <v>44748</v>
      </c>
      <c r="B1088" s="11">
        <f>VLOOKUP(A1088,[1]HD_price_daily!$A$8:$B$1768,2,0)</f>
        <v>283.58</v>
      </c>
      <c r="C1088">
        <f t="shared" si="64"/>
        <v>-5.2867162443182014E-4</v>
      </c>
      <c r="D1088" s="1" t="str">
        <f t="shared" ca="1" si="65"/>
        <v>=B1088/B1087-1</v>
      </c>
      <c r="E1088" s="8">
        <f>VLOOKUP(A1088,'[1]S&amp;P500_DAILY'!$A$8:$B$1768,2,0)</f>
        <v>3845.08</v>
      </c>
      <c r="F1088" s="1">
        <f t="shared" si="66"/>
        <v>3.5731157621645693E-3</v>
      </c>
      <c r="G1088" s="1" t="str">
        <f t="shared" ca="1" si="67"/>
        <v>=E1088/E1087-1</v>
      </c>
    </row>
    <row r="1089" spans="1:7">
      <c r="A1089" s="14">
        <v>44749</v>
      </c>
      <c r="B1089" s="11">
        <f>VLOOKUP(A1089,[1]HD_price_daily!$A$8:$B$1768,2,0)</f>
        <v>286.69</v>
      </c>
      <c r="C1089">
        <f t="shared" si="64"/>
        <v>1.0966922914168897E-2</v>
      </c>
      <c r="D1089" s="1" t="str">
        <f t="shared" ca="1" si="65"/>
        <v>=B1089/B1088-1</v>
      </c>
      <c r="E1089" s="8">
        <f>VLOOKUP(A1089,'[1]S&amp;P500_DAILY'!$A$8:$B$1768,2,0)</f>
        <v>3902.62</v>
      </c>
      <c r="F1089" s="1">
        <f t="shared" si="66"/>
        <v>1.4964578110208349E-2</v>
      </c>
      <c r="G1089" s="1" t="str">
        <f t="shared" ca="1" si="67"/>
        <v>=E1089/E1088-1</v>
      </c>
    </row>
    <row r="1090" spans="1:7">
      <c r="A1090" s="14">
        <v>44750</v>
      </c>
      <c r="B1090" s="11">
        <f>VLOOKUP(A1090,[1]HD_price_daily!$A$8:$B$1768,2,0)</f>
        <v>286.47000000000003</v>
      </c>
      <c r="C1090">
        <f t="shared" si="64"/>
        <v>-7.6737939935112021E-4</v>
      </c>
      <c r="D1090" s="1" t="str">
        <f t="shared" ca="1" si="65"/>
        <v>=B1090/B1089-1</v>
      </c>
      <c r="E1090" s="8">
        <f>VLOOKUP(A1090,'[1]S&amp;P500_DAILY'!$A$8:$B$1768,2,0)</f>
        <v>3899.38</v>
      </c>
      <c r="F1090" s="1">
        <f t="shared" si="66"/>
        <v>-8.3021149894169088E-4</v>
      </c>
      <c r="G1090" s="1" t="str">
        <f t="shared" ca="1" si="67"/>
        <v>=E1090/E1089-1</v>
      </c>
    </row>
    <row r="1091" spans="1:7">
      <c r="A1091" s="14">
        <v>44753</v>
      </c>
      <c r="B1091" s="11">
        <f>VLOOKUP(A1091,[1]HD_price_daily!$A$8:$B$1768,2,0)</f>
        <v>286.39</v>
      </c>
      <c r="C1091">
        <f t="shared" si="64"/>
        <v>-2.7926135371958427E-4</v>
      </c>
      <c r="D1091" s="1" t="str">
        <f t="shared" ca="1" si="65"/>
        <v>=B1091/B1090-1</v>
      </c>
      <c r="E1091" s="8">
        <f>VLOOKUP(A1091,'[1]S&amp;P500_DAILY'!$A$8:$B$1768,2,0)</f>
        <v>3854.43</v>
      </c>
      <c r="F1091" s="1">
        <f t="shared" si="66"/>
        <v>-1.1527473598367033E-2</v>
      </c>
      <c r="G1091" s="1" t="str">
        <f t="shared" ca="1" si="67"/>
        <v>=E1091/E1090-1</v>
      </c>
    </row>
    <row r="1092" spans="1:7">
      <c r="A1092" s="14">
        <v>44754</v>
      </c>
      <c r="B1092" s="11">
        <f>VLOOKUP(A1092,[1]HD_price_daily!$A$8:$B$1768,2,0)</f>
        <v>285.12</v>
      </c>
      <c r="C1092">
        <f t="shared" ref="C1092:C1155" si="68">B1092/B1091-1</f>
        <v>-4.4345123782254525E-3</v>
      </c>
      <c r="D1092" s="1" t="str">
        <f t="shared" ref="D1092:D1155" ca="1" si="69">_xlfn.FORMULATEXT(C1092)</f>
        <v>=B1092/B1091-1</v>
      </c>
      <c r="E1092" s="8">
        <f>VLOOKUP(A1092,'[1]S&amp;P500_DAILY'!$A$8:$B$1768,2,0)</f>
        <v>3818.8</v>
      </c>
      <c r="F1092" s="1">
        <f t="shared" ref="F1092:F1155" si="70">E1092/E1091-1</f>
        <v>-9.2439089567069033E-3</v>
      </c>
      <c r="G1092" s="1" t="str">
        <f t="shared" ref="G1092:G1155" ca="1" si="71">_xlfn.FORMULATEXT(F1092)</f>
        <v>=E1092/E1091-1</v>
      </c>
    </row>
    <row r="1093" spans="1:7">
      <c r="A1093" s="14">
        <v>44755</v>
      </c>
      <c r="B1093" s="11">
        <f>VLOOKUP(A1093,[1]HD_price_daily!$A$8:$B$1768,2,0)</f>
        <v>287.18</v>
      </c>
      <c r="C1093">
        <f t="shared" si="68"/>
        <v>7.225028058361449E-3</v>
      </c>
      <c r="D1093" s="1" t="str">
        <f t="shared" ca="1" si="69"/>
        <v>=B1093/B1092-1</v>
      </c>
      <c r="E1093" s="8">
        <f>VLOOKUP(A1093,'[1]S&amp;P500_DAILY'!$A$8:$B$1768,2,0)</f>
        <v>3801.78</v>
      </c>
      <c r="F1093" s="1">
        <f t="shared" si="70"/>
        <v>-4.4568974546977946E-3</v>
      </c>
      <c r="G1093" s="1" t="str">
        <f t="shared" ca="1" si="71"/>
        <v>=E1093/E1092-1</v>
      </c>
    </row>
    <row r="1094" spans="1:7">
      <c r="A1094" s="14">
        <v>44756</v>
      </c>
      <c r="B1094" s="11">
        <f>VLOOKUP(A1094,[1]HD_price_daily!$A$8:$B$1768,2,0)</f>
        <v>289.48</v>
      </c>
      <c r="C1094">
        <f t="shared" si="68"/>
        <v>8.0089142697958859E-3</v>
      </c>
      <c r="D1094" s="1" t="str">
        <f t="shared" ca="1" si="69"/>
        <v>=B1094/B1093-1</v>
      </c>
      <c r="E1094" s="8">
        <f>VLOOKUP(A1094,'[1]S&amp;P500_DAILY'!$A$8:$B$1768,2,0)</f>
        <v>3790.38</v>
      </c>
      <c r="F1094" s="1">
        <f t="shared" si="70"/>
        <v>-2.99859539478875E-3</v>
      </c>
      <c r="G1094" s="1" t="str">
        <f t="shared" ca="1" si="71"/>
        <v>=E1094/E1093-1</v>
      </c>
    </row>
    <row r="1095" spans="1:7">
      <c r="A1095" s="14">
        <v>44757</v>
      </c>
      <c r="B1095" s="11">
        <f>VLOOKUP(A1095,[1]HD_price_daily!$A$8:$B$1768,2,0)</f>
        <v>292.41000000000003</v>
      </c>
      <c r="C1095">
        <f t="shared" si="68"/>
        <v>1.0121597346967048E-2</v>
      </c>
      <c r="D1095" s="1" t="str">
        <f t="shared" ca="1" si="69"/>
        <v>=B1095/B1094-1</v>
      </c>
      <c r="E1095" s="8">
        <f>VLOOKUP(A1095,'[1]S&amp;P500_DAILY'!$A$8:$B$1768,2,0)</f>
        <v>3863.16</v>
      </c>
      <c r="F1095" s="1">
        <f t="shared" si="70"/>
        <v>1.9201241036518768E-2</v>
      </c>
      <c r="G1095" s="1" t="str">
        <f t="shared" ca="1" si="71"/>
        <v>=E1095/E1094-1</v>
      </c>
    </row>
    <row r="1096" spans="1:7">
      <c r="A1096" s="14">
        <v>44760</v>
      </c>
      <c r="B1096" s="11">
        <f>VLOOKUP(A1096,[1]HD_price_daily!$A$8:$B$1768,2,0)</f>
        <v>293.05</v>
      </c>
      <c r="C1096">
        <f t="shared" si="68"/>
        <v>2.1887076365376679E-3</v>
      </c>
      <c r="D1096" s="1" t="str">
        <f t="shared" ca="1" si="69"/>
        <v>=B1096/B1095-1</v>
      </c>
      <c r="E1096" s="8">
        <f>VLOOKUP(A1096,'[1]S&amp;P500_DAILY'!$A$8:$B$1768,2,0)</f>
        <v>3830.85</v>
      </c>
      <c r="F1096" s="1">
        <f t="shared" si="70"/>
        <v>-8.3636194203708936E-3</v>
      </c>
      <c r="G1096" s="1" t="str">
        <f t="shared" ca="1" si="71"/>
        <v>=E1096/E1095-1</v>
      </c>
    </row>
    <row r="1097" spans="1:7">
      <c r="A1097" s="14">
        <v>44761</v>
      </c>
      <c r="B1097" s="11">
        <f>VLOOKUP(A1097,[1]HD_price_daily!$A$8:$B$1768,2,0)</f>
        <v>299.83</v>
      </c>
      <c r="C1097">
        <f t="shared" si="68"/>
        <v>2.3135983620542477E-2</v>
      </c>
      <c r="D1097" s="1" t="str">
        <f t="shared" ca="1" si="69"/>
        <v>=B1097/B1096-1</v>
      </c>
      <c r="E1097" s="8">
        <f>VLOOKUP(A1097,'[1]S&amp;P500_DAILY'!$A$8:$B$1768,2,0)</f>
        <v>3936.69</v>
      </c>
      <c r="F1097" s="1">
        <f t="shared" si="70"/>
        <v>2.7628333137554417E-2</v>
      </c>
      <c r="G1097" s="1" t="str">
        <f t="shared" ca="1" si="71"/>
        <v>=E1097/E1096-1</v>
      </c>
    </row>
    <row r="1098" spans="1:7">
      <c r="A1098" s="14">
        <v>44762</v>
      </c>
      <c r="B1098" s="11">
        <f>VLOOKUP(A1098,[1]HD_price_daily!$A$8:$B$1768,2,0)</f>
        <v>302.3</v>
      </c>
      <c r="C1098">
        <f t="shared" si="68"/>
        <v>8.2380015342027324E-3</v>
      </c>
      <c r="D1098" s="1" t="str">
        <f t="shared" ca="1" si="69"/>
        <v>=B1098/B1097-1</v>
      </c>
      <c r="E1098" s="8">
        <f>VLOOKUP(A1098,'[1]S&amp;P500_DAILY'!$A$8:$B$1768,2,0)</f>
        <v>3959.9</v>
      </c>
      <c r="F1098" s="1">
        <f t="shared" si="70"/>
        <v>5.8958160281861183E-3</v>
      </c>
      <c r="G1098" s="1" t="str">
        <f t="shared" ca="1" si="71"/>
        <v>=E1098/E1097-1</v>
      </c>
    </row>
    <row r="1099" spans="1:7">
      <c r="A1099" s="14">
        <v>44763</v>
      </c>
      <c r="B1099" s="11">
        <f>VLOOKUP(A1099,[1]HD_price_daily!$A$8:$B$1768,2,0)</f>
        <v>305</v>
      </c>
      <c r="C1099">
        <f t="shared" si="68"/>
        <v>8.9315249751902304E-3</v>
      </c>
      <c r="D1099" s="1" t="str">
        <f t="shared" ca="1" si="69"/>
        <v>=B1099/B1098-1</v>
      </c>
      <c r="E1099" s="8">
        <f>VLOOKUP(A1099,'[1]S&amp;P500_DAILY'!$A$8:$B$1768,2,0)</f>
        <v>3998.95</v>
      </c>
      <c r="F1099" s="1">
        <f t="shared" si="70"/>
        <v>9.8613601353569891E-3</v>
      </c>
      <c r="G1099" s="1" t="str">
        <f t="shared" ca="1" si="71"/>
        <v>=E1099/E1098-1</v>
      </c>
    </row>
    <row r="1100" spans="1:7">
      <c r="A1100" s="14">
        <v>44764</v>
      </c>
      <c r="B1100" s="11">
        <f>VLOOKUP(A1100,[1]HD_price_daily!$A$8:$B$1768,2,0)</f>
        <v>306.58999999999997</v>
      </c>
      <c r="C1100">
        <f t="shared" si="68"/>
        <v>5.213114754098358E-3</v>
      </c>
      <c r="D1100" s="1" t="str">
        <f t="shared" ca="1" si="69"/>
        <v>=B1100/B1099-1</v>
      </c>
      <c r="E1100" s="8">
        <f>VLOOKUP(A1100,'[1]S&amp;P500_DAILY'!$A$8:$B$1768,2,0)</f>
        <v>3961.63</v>
      </c>
      <c r="F1100" s="1">
        <f t="shared" si="70"/>
        <v>-9.3324497680640217E-3</v>
      </c>
      <c r="G1100" s="1" t="str">
        <f t="shared" ca="1" si="71"/>
        <v>=E1100/E1099-1</v>
      </c>
    </row>
    <row r="1101" spans="1:7">
      <c r="A1101" s="14">
        <v>44767</v>
      </c>
      <c r="B1101" s="11">
        <f>VLOOKUP(A1101,[1]HD_price_daily!$A$8:$B$1768,2,0)</f>
        <v>306.14999999999998</v>
      </c>
      <c r="C1101">
        <f t="shared" si="68"/>
        <v>-1.4351413940441038E-3</v>
      </c>
      <c r="D1101" s="1" t="str">
        <f t="shared" ca="1" si="69"/>
        <v>=B1101/B1100-1</v>
      </c>
      <c r="E1101" s="8">
        <f>VLOOKUP(A1101,'[1]S&amp;P500_DAILY'!$A$8:$B$1768,2,0)</f>
        <v>3966.84</v>
      </c>
      <c r="F1101" s="1">
        <f t="shared" si="70"/>
        <v>1.3151152429682345E-3</v>
      </c>
      <c r="G1101" s="1" t="str">
        <f t="shared" ca="1" si="71"/>
        <v>=E1101/E1100-1</v>
      </c>
    </row>
    <row r="1102" spans="1:7">
      <c r="A1102" s="14">
        <v>44768</v>
      </c>
      <c r="B1102" s="11">
        <f>VLOOKUP(A1102,[1]HD_price_daily!$A$8:$B$1768,2,0)</f>
        <v>298.18</v>
      </c>
      <c r="C1102">
        <f t="shared" si="68"/>
        <v>-2.6032990364200481E-2</v>
      </c>
      <c r="D1102" s="1" t="str">
        <f t="shared" ca="1" si="69"/>
        <v>=B1102/B1101-1</v>
      </c>
      <c r="E1102" s="8">
        <f>VLOOKUP(A1102,'[1]S&amp;P500_DAILY'!$A$8:$B$1768,2,0)</f>
        <v>3921.05</v>
      </c>
      <c r="F1102" s="1">
        <f t="shared" si="70"/>
        <v>-1.1543193070554847E-2</v>
      </c>
      <c r="G1102" s="1" t="str">
        <f t="shared" ca="1" si="71"/>
        <v>=E1102/E1101-1</v>
      </c>
    </row>
    <row r="1103" spans="1:7">
      <c r="A1103" s="14">
        <v>44769</v>
      </c>
      <c r="B1103" s="11">
        <f>VLOOKUP(A1103,[1]HD_price_daily!$A$8:$B$1768,2,0)</f>
        <v>298.91000000000003</v>
      </c>
      <c r="C1103">
        <f t="shared" si="68"/>
        <v>2.4481856596687557E-3</v>
      </c>
      <c r="D1103" s="1" t="str">
        <f t="shared" ca="1" si="69"/>
        <v>=B1103/B1102-1</v>
      </c>
      <c r="E1103" s="8">
        <f>VLOOKUP(A1103,'[1]S&amp;P500_DAILY'!$A$8:$B$1768,2,0)</f>
        <v>4023.61</v>
      </c>
      <c r="F1103" s="1">
        <f t="shared" si="70"/>
        <v>2.6156259165274642E-2</v>
      </c>
      <c r="G1103" s="1" t="str">
        <f t="shared" ca="1" si="71"/>
        <v>=E1103/E1102-1</v>
      </c>
    </row>
    <row r="1104" spans="1:7">
      <c r="A1104" s="14">
        <v>44770</v>
      </c>
      <c r="B1104" s="11">
        <f>VLOOKUP(A1104,[1]HD_price_daily!$A$8:$B$1768,2,0)</f>
        <v>299.63</v>
      </c>
      <c r="C1104">
        <f t="shared" si="68"/>
        <v>2.4087517982001039E-3</v>
      </c>
      <c r="D1104" s="1" t="str">
        <f t="shared" ca="1" si="69"/>
        <v>=B1104/B1103-1</v>
      </c>
      <c r="E1104" s="8">
        <f>VLOOKUP(A1104,'[1]S&amp;P500_DAILY'!$A$8:$B$1768,2,0)</f>
        <v>4072.43</v>
      </c>
      <c r="F1104" s="1">
        <f t="shared" si="70"/>
        <v>1.2133382708562568E-2</v>
      </c>
      <c r="G1104" s="1" t="str">
        <f t="shared" ca="1" si="71"/>
        <v>=E1104/E1103-1</v>
      </c>
    </row>
    <row r="1105" spans="1:7">
      <c r="A1105" s="14">
        <v>44771</v>
      </c>
      <c r="B1105" s="11">
        <f>VLOOKUP(A1105,[1]HD_price_daily!$A$8:$B$1768,2,0)</f>
        <v>300.94</v>
      </c>
      <c r="C1105">
        <f t="shared" si="68"/>
        <v>4.3720588726094967E-3</v>
      </c>
      <c r="D1105" s="1" t="str">
        <f t="shared" ca="1" si="69"/>
        <v>=B1105/B1104-1</v>
      </c>
      <c r="E1105" s="8">
        <f>VLOOKUP(A1105,'[1]S&amp;P500_DAILY'!$A$8:$B$1768,2,0)</f>
        <v>4130.29</v>
      </c>
      <c r="F1105" s="1">
        <f t="shared" si="70"/>
        <v>1.4207733466259809E-2</v>
      </c>
      <c r="G1105" s="1" t="str">
        <f t="shared" ca="1" si="71"/>
        <v>=E1105/E1104-1</v>
      </c>
    </row>
    <row r="1106" spans="1:7">
      <c r="A1106" s="14">
        <v>44774</v>
      </c>
      <c r="B1106" s="11">
        <f>VLOOKUP(A1106,[1]HD_price_daily!$A$8:$B$1768,2,0)</f>
        <v>305.82</v>
      </c>
      <c r="C1106">
        <f t="shared" si="68"/>
        <v>1.621585698145811E-2</v>
      </c>
      <c r="D1106" s="1" t="str">
        <f t="shared" ca="1" si="69"/>
        <v>=B1106/B1105-1</v>
      </c>
      <c r="E1106" s="8">
        <f>VLOOKUP(A1106,'[1]S&amp;P500_DAILY'!$A$8:$B$1768,2,0)</f>
        <v>4118.63</v>
      </c>
      <c r="F1106" s="1">
        <f t="shared" si="70"/>
        <v>-2.8230463236237346E-3</v>
      </c>
      <c r="G1106" s="1" t="str">
        <f t="shared" ca="1" si="71"/>
        <v>=E1106/E1105-1</v>
      </c>
    </row>
    <row r="1107" spans="1:7">
      <c r="A1107" s="14">
        <v>44775</v>
      </c>
      <c r="B1107" s="11">
        <f>VLOOKUP(A1107,[1]HD_price_daily!$A$8:$B$1768,2,0)</f>
        <v>300.70999999999998</v>
      </c>
      <c r="C1107">
        <f t="shared" si="68"/>
        <v>-1.6709175331894643E-2</v>
      </c>
      <c r="D1107" s="1" t="str">
        <f t="shared" ca="1" si="69"/>
        <v>=B1107/B1106-1</v>
      </c>
      <c r="E1107" s="8">
        <f>VLOOKUP(A1107,'[1]S&amp;P500_DAILY'!$A$8:$B$1768,2,0)</f>
        <v>4091.19</v>
      </c>
      <c r="F1107" s="1">
        <f t="shared" si="70"/>
        <v>-6.6624095876541833E-3</v>
      </c>
      <c r="G1107" s="1" t="str">
        <f t="shared" ca="1" si="71"/>
        <v>=E1107/E1106-1</v>
      </c>
    </row>
    <row r="1108" spans="1:7">
      <c r="A1108" s="14">
        <v>44776</v>
      </c>
      <c r="B1108" s="11">
        <f>VLOOKUP(A1108,[1]HD_price_daily!$A$8:$B$1768,2,0)</f>
        <v>306.37</v>
      </c>
      <c r="C1108">
        <f t="shared" si="68"/>
        <v>1.8822120980346524E-2</v>
      </c>
      <c r="D1108" s="1" t="str">
        <f t="shared" ca="1" si="69"/>
        <v>=B1108/B1107-1</v>
      </c>
      <c r="E1108" s="8">
        <f>VLOOKUP(A1108,'[1]S&amp;P500_DAILY'!$A$8:$B$1768,2,0)</f>
        <v>4155.17</v>
      </c>
      <c r="F1108" s="1">
        <f t="shared" si="70"/>
        <v>1.5638481713144525E-2</v>
      </c>
      <c r="G1108" s="1" t="str">
        <f t="shared" ca="1" si="71"/>
        <v>=E1108/E1107-1</v>
      </c>
    </row>
    <row r="1109" spans="1:7">
      <c r="A1109" s="14">
        <v>44777</v>
      </c>
      <c r="B1109" s="11">
        <f>VLOOKUP(A1109,[1]HD_price_daily!$A$8:$B$1768,2,0)</f>
        <v>307.17</v>
      </c>
      <c r="C1109">
        <f t="shared" si="68"/>
        <v>2.6112217253648762E-3</v>
      </c>
      <c r="D1109" s="1" t="str">
        <f t="shared" ca="1" si="69"/>
        <v>=B1109/B1108-1</v>
      </c>
      <c r="E1109" s="8">
        <f>VLOOKUP(A1109,'[1]S&amp;P500_DAILY'!$A$8:$B$1768,2,0)</f>
        <v>4151.9399999999996</v>
      </c>
      <c r="F1109" s="1">
        <f t="shared" si="70"/>
        <v>-7.7734484990998887E-4</v>
      </c>
      <c r="G1109" s="1" t="str">
        <f t="shared" ca="1" si="71"/>
        <v>=E1109/E1108-1</v>
      </c>
    </row>
    <row r="1110" spans="1:7">
      <c r="A1110" s="14">
        <v>44778</v>
      </c>
      <c r="B1110" s="11">
        <f>VLOOKUP(A1110,[1]HD_price_daily!$A$8:$B$1768,2,0)</f>
        <v>309.69</v>
      </c>
      <c r="C1110">
        <f t="shared" si="68"/>
        <v>8.2039261646644768E-3</v>
      </c>
      <c r="D1110" s="1" t="str">
        <f t="shared" ca="1" si="69"/>
        <v>=B1110/B1109-1</v>
      </c>
      <c r="E1110" s="8">
        <f>VLOOKUP(A1110,'[1]S&amp;P500_DAILY'!$A$8:$B$1768,2,0)</f>
        <v>4145.1899999999996</v>
      </c>
      <c r="F1110" s="1">
        <f t="shared" si="70"/>
        <v>-1.6257460367924415E-3</v>
      </c>
      <c r="G1110" s="1" t="str">
        <f t="shared" ca="1" si="71"/>
        <v>=E1110/E1109-1</v>
      </c>
    </row>
    <row r="1111" spans="1:7">
      <c r="A1111" s="14">
        <v>44781</v>
      </c>
      <c r="B1111" s="11">
        <f>VLOOKUP(A1111,[1]HD_price_daily!$A$8:$B$1768,2,0)</f>
        <v>311.97000000000003</v>
      </c>
      <c r="C1111">
        <f t="shared" si="68"/>
        <v>7.3622009105880348E-3</v>
      </c>
      <c r="D1111" s="1" t="str">
        <f t="shared" ca="1" si="69"/>
        <v>=B1111/B1110-1</v>
      </c>
      <c r="E1111" s="8">
        <f>VLOOKUP(A1111,'[1]S&amp;P500_DAILY'!$A$8:$B$1768,2,0)</f>
        <v>4140.0600000000004</v>
      </c>
      <c r="F1111" s="1">
        <f t="shared" si="70"/>
        <v>-1.2375789770792123E-3</v>
      </c>
      <c r="G1111" s="1" t="str">
        <f t="shared" ca="1" si="71"/>
        <v>=E1111/E1110-1</v>
      </c>
    </row>
    <row r="1112" spans="1:7">
      <c r="A1112" s="14">
        <v>44782</v>
      </c>
      <c r="B1112" s="11">
        <f>VLOOKUP(A1112,[1]HD_price_daily!$A$8:$B$1768,2,0)</f>
        <v>305.20999999999998</v>
      </c>
      <c r="C1112">
        <f t="shared" si="68"/>
        <v>-2.1668750200339981E-2</v>
      </c>
      <c r="D1112" s="1" t="str">
        <f t="shared" ca="1" si="69"/>
        <v>=B1112/B1111-1</v>
      </c>
      <c r="E1112" s="8">
        <f>VLOOKUP(A1112,'[1]S&amp;P500_DAILY'!$A$8:$B$1768,2,0)</f>
        <v>4122.47</v>
      </c>
      <c r="F1112" s="1">
        <f t="shared" si="70"/>
        <v>-4.248730694724312E-3</v>
      </c>
      <c r="G1112" s="1" t="str">
        <f t="shared" ca="1" si="71"/>
        <v>=E1112/E1111-1</v>
      </c>
    </row>
    <row r="1113" spans="1:7">
      <c r="A1113" s="14">
        <v>44783</v>
      </c>
      <c r="B1113" s="11">
        <f>VLOOKUP(A1113,[1]HD_price_daily!$A$8:$B$1768,2,0)</f>
        <v>311.58</v>
      </c>
      <c r="C1113">
        <f t="shared" si="68"/>
        <v>2.0870875790439447E-2</v>
      </c>
      <c r="D1113" s="1" t="str">
        <f t="shared" ca="1" si="69"/>
        <v>=B1113/B1112-1</v>
      </c>
      <c r="E1113" s="8">
        <f>VLOOKUP(A1113,'[1]S&amp;P500_DAILY'!$A$8:$B$1768,2,0)</f>
        <v>4210.24</v>
      </c>
      <c r="F1113" s="1">
        <f t="shared" si="70"/>
        <v>2.1290634013103604E-2</v>
      </c>
      <c r="G1113" s="1" t="str">
        <f t="shared" ca="1" si="71"/>
        <v>=E1113/E1112-1</v>
      </c>
    </row>
    <row r="1114" spans="1:7">
      <c r="A1114" s="14">
        <v>44784</v>
      </c>
      <c r="B1114" s="11">
        <f>VLOOKUP(A1114,[1]HD_price_daily!$A$8:$B$1768,2,0)</f>
        <v>310.69</v>
      </c>
      <c r="C1114">
        <f t="shared" si="68"/>
        <v>-2.8564092688875276E-3</v>
      </c>
      <c r="D1114" s="1" t="str">
        <f t="shared" ca="1" si="69"/>
        <v>=B1114/B1113-1</v>
      </c>
      <c r="E1114" s="8">
        <f>VLOOKUP(A1114,'[1]S&amp;P500_DAILY'!$A$8:$B$1768,2,0)</f>
        <v>4207.2700000000004</v>
      </c>
      <c r="F1114" s="1">
        <f t="shared" si="70"/>
        <v>-7.0542296876174859E-4</v>
      </c>
      <c r="G1114" s="1" t="str">
        <f t="shared" ca="1" si="71"/>
        <v>=E1114/E1113-1</v>
      </c>
    </row>
    <row r="1115" spans="1:7">
      <c r="A1115" s="14">
        <v>44785</v>
      </c>
      <c r="B1115" s="11">
        <f>VLOOKUP(A1115,[1]HD_price_daily!$A$8:$B$1768,2,0)</f>
        <v>314.89</v>
      </c>
      <c r="C1115">
        <f t="shared" si="68"/>
        <v>1.3518297981911287E-2</v>
      </c>
      <c r="D1115" s="1" t="str">
        <f t="shared" ca="1" si="69"/>
        <v>=B1115/B1114-1</v>
      </c>
      <c r="E1115" s="8">
        <f>VLOOKUP(A1115,'[1]S&amp;P500_DAILY'!$A$8:$B$1768,2,0)</f>
        <v>4280.1499999999996</v>
      </c>
      <c r="F1115" s="1">
        <f t="shared" si="70"/>
        <v>1.7322396708554288E-2</v>
      </c>
      <c r="G1115" s="1" t="str">
        <f t="shared" ca="1" si="71"/>
        <v>=E1115/E1114-1</v>
      </c>
    </row>
    <row r="1116" spans="1:7">
      <c r="A1116" s="14">
        <v>44788</v>
      </c>
      <c r="B1116" s="11">
        <f>VLOOKUP(A1116,[1]HD_price_daily!$A$8:$B$1768,2,0)</f>
        <v>314.61</v>
      </c>
      <c r="C1116">
        <f t="shared" si="68"/>
        <v>-8.891994029660566E-4</v>
      </c>
      <c r="D1116" s="1" t="str">
        <f t="shared" ca="1" si="69"/>
        <v>=B1116/B1115-1</v>
      </c>
      <c r="E1116" s="8">
        <f>VLOOKUP(A1116,'[1]S&amp;P500_DAILY'!$A$8:$B$1768,2,0)</f>
        <v>4297.1400000000003</v>
      </c>
      <c r="F1116" s="1">
        <f t="shared" si="70"/>
        <v>3.96948705068767E-3</v>
      </c>
      <c r="G1116" s="1" t="str">
        <f t="shared" ca="1" si="71"/>
        <v>=E1116/E1115-1</v>
      </c>
    </row>
    <row r="1117" spans="1:7">
      <c r="A1117" s="14">
        <v>44789</v>
      </c>
      <c r="B1117" s="11">
        <f>VLOOKUP(A1117,[1]HD_price_daily!$A$8:$B$1768,2,0)</f>
        <v>327.38</v>
      </c>
      <c r="C1117">
        <f t="shared" si="68"/>
        <v>4.0589936747083666E-2</v>
      </c>
      <c r="D1117" s="1" t="str">
        <f t="shared" ca="1" si="69"/>
        <v>=B1117/B1116-1</v>
      </c>
      <c r="E1117" s="8">
        <f>VLOOKUP(A1117,'[1]S&amp;P500_DAILY'!$A$8:$B$1768,2,0)</f>
        <v>4305.2</v>
      </c>
      <c r="F1117" s="1">
        <f t="shared" si="70"/>
        <v>1.8756661407353103E-3</v>
      </c>
      <c r="G1117" s="1" t="str">
        <f t="shared" ca="1" si="71"/>
        <v>=E1117/E1116-1</v>
      </c>
    </row>
    <row r="1118" spans="1:7">
      <c r="A1118" s="14">
        <v>44790</v>
      </c>
      <c r="B1118" s="11">
        <f>VLOOKUP(A1118,[1]HD_price_daily!$A$8:$B$1768,2,0)</f>
        <v>325.76</v>
      </c>
      <c r="C1118">
        <f t="shared" si="68"/>
        <v>-4.948378031645162E-3</v>
      </c>
      <c r="D1118" s="1" t="str">
        <f t="shared" ca="1" si="69"/>
        <v>=B1118/B1117-1</v>
      </c>
      <c r="E1118" s="8">
        <f>VLOOKUP(A1118,'[1]S&amp;P500_DAILY'!$A$8:$B$1768,2,0)</f>
        <v>4274.04</v>
      </c>
      <c r="F1118" s="1">
        <f t="shared" si="70"/>
        <v>-7.2377589891293725E-3</v>
      </c>
      <c r="G1118" s="1" t="str">
        <f t="shared" ca="1" si="71"/>
        <v>=E1118/E1117-1</v>
      </c>
    </row>
    <row r="1119" spans="1:7">
      <c r="A1119" s="14">
        <v>44791</v>
      </c>
      <c r="B1119" s="11">
        <f>VLOOKUP(A1119,[1]HD_price_daily!$A$8:$B$1768,2,0)</f>
        <v>325.20999999999998</v>
      </c>
      <c r="C1119">
        <f t="shared" si="68"/>
        <v>-1.6883595284872266E-3</v>
      </c>
      <c r="D1119" s="1" t="str">
        <f t="shared" ca="1" si="69"/>
        <v>=B1119/B1118-1</v>
      </c>
      <c r="E1119" s="8">
        <f>VLOOKUP(A1119,'[1]S&amp;P500_DAILY'!$A$8:$B$1768,2,0)</f>
        <v>4283.74</v>
      </c>
      <c r="F1119" s="1">
        <f t="shared" si="70"/>
        <v>2.2695154935377104E-3</v>
      </c>
      <c r="G1119" s="1" t="str">
        <f t="shared" ca="1" si="71"/>
        <v>=E1119/E1118-1</v>
      </c>
    </row>
    <row r="1120" spans="1:7">
      <c r="A1120" s="14">
        <v>44792</v>
      </c>
      <c r="B1120" s="11">
        <f>VLOOKUP(A1120,[1]HD_price_daily!$A$8:$B$1768,2,0)</f>
        <v>321.32</v>
      </c>
      <c r="C1120">
        <f t="shared" si="68"/>
        <v>-1.1961501798837593E-2</v>
      </c>
      <c r="D1120" s="1" t="str">
        <f t="shared" ca="1" si="69"/>
        <v>=B1120/B1119-1</v>
      </c>
      <c r="E1120" s="8">
        <f>VLOOKUP(A1120,'[1]S&amp;P500_DAILY'!$A$8:$B$1768,2,0)</f>
        <v>4228.4799999999996</v>
      </c>
      <c r="F1120" s="1">
        <f t="shared" si="70"/>
        <v>-1.2899942573545653E-2</v>
      </c>
      <c r="G1120" s="1" t="str">
        <f t="shared" ca="1" si="71"/>
        <v>=E1120/E1119-1</v>
      </c>
    </row>
    <row r="1121" spans="1:7">
      <c r="A1121" s="14">
        <v>44795</v>
      </c>
      <c r="B1121" s="11">
        <f>VLOOKUP(A1121,[1]HD_price_daily!$A$8:$B$1768,2,0)</f>
        <v>312.20999999999998</v>
      </c>
      <c r="C1121">
        <f t="shared" si="68"/>
        <v>-2.8351798829826969E-2</v>
      </c>
      <c r="D1121" s="1" t="str">
        <f t="shared" ca="1" si="69"/>
        <v>=B1121/B1120-1</v>
      </c>
      <c r="E1121" s="8">
        <f>VLOOKUP(A1121,'[1]S&amp;P500_DAILY'!$A$8:$B$1768,2,0)</f>
        <v>4137.99</v>
      </c>
      <c r="F1121" s="1">
        <f t="shared" si="70"/>
        <v>-2.1400124867564707E-2</v>
      </c>
      <c r="G1121" s="1" t="str">
        <f t="shared" ca="1" si="71"/>
        <v>=E1121/E1120-1</v>
      </c>
    </row>
    <row r="1122" spans="1:7">
      <c r="A1122" s="14">
        <v>44796</v>
      </c>
      <c r="B1122" s="11">
        <f>VLOOKUP(A1122,[1]HD_price_daily!$A$8:$B$1768,2,0)</f>
        <v>306.89999999999998</v>
      </c>
      <c r="C1122">
        <f t="shared" si="68"/>
        <v>-1.7007783222830808E-2</v>
      </c>
      <c r="D1122" s="1" t="str">
        <f t="shared" ca="1" si="69"/>
        <v>=B1122/B1121-1</v>
      </c>
      <c r="E1122" s="8">
        <f>VLOOKUP(A1122,'[1]S&amp;P500_DAILY'!$A$8:$B$1768,2,0)</f>
        <v>4128.7299999999996</v>
      </c>
      <c r="F1122" s="1">
        <f t="shared" si="70"/>
        <v>-2.2378014446627903E-3</v>
      </c>
      <c r="G1122" s="1" t="str">
        <f t="shared" ca="1" si="71"/>
        <v>=E1122/E1121-1</v>
      </c>
    </row>
    <row r="1123" spans="1:7">
      <c r="A1123" s="14">
        <v>44797</v>
      </c>
      <c r="B1123" s="11">
        <f>VLOOKUP(A1123,[1]HD_price_daily!$A$8:$B$1768,2,0)</f>
        <v>308.11</v>
      </c>
      <c r="C1123">
        <f t="shared" si="68"/>
        <v>3.9426523297492189E-3</v>
      </c>
      <c r="D1123" s="1" t="str">
        <f t="shared" ca="1" si="69"/>
        <v>=B1123/B1122-1</v>
      </c>
      <c r="E1123" s="8">
        <f>VLOOKUP(A1123,'[1]S&amp;P500_DAILY'!$A$8:$B$1768,2,0)</f>
        <v>4140.7700000000004</v>
      </c>
      <c r="F1123" s="1">
        <f t="shared" si="70"/>
        <v>2.9161509713642175E-3</v>
      </c>
      <c r="G1123" s="1" t="str">
        <f t="shared" ca="1" si="71"/>
        <v>=E1123/E1122-1</v>
      </c>
    </row>
    <row r="1124" spans="1:7">
      <c r="A1124" s="14">
        <v>44798</v>
      </c>
      <c r="B1124" s="11">
        <f>VLOOKUP(A1124,[1]HD_price_daily!$A$8:$B$1768,2,0)</f>
        <v>309.77999999999997</v>
      </c>
      <c r="C1124">
        <f t="shared" si="68"/>
        <v>5.4201421570216901E-3</v>
      </c>
      <c r="D1124" s="1" t="str">
        <f t="shared" ca="1" si="69"/>
        <v>=B1124/B1123-1</v>
      </c>
      <c r="E1124" s="8">
        <f>VLOOKUP(A1124,'[1]S&amp;P500_DAILY'!$A$8:$B$1768,2,0)</f>
        <v>4199.12</v>
      </c>
      <c r="F1124" s="1">
        <f t="shared" si="70"/>
        <v>1.4091582000449021E-2</v>
      </c>
      <c r="G1124" s="1" t="str">
        <f t="shared" ca="1" si="71"/>
        <v>=E1124/E1123-1</v>
      </c>
    </row>
    <row r="1125" spans="1:7">
      <c r="A1125" s="14">
        <v>44799</v>
      </c>
      <c r="B1125" s="11">
        <f>VLOOKUP(A1125,[1]HD_price_daily!$A$8:$B$1768,2,0)</f>
        <v>298.10000000000002</v>
      </c>
      <c r="C1125">
        <f t="shared" si="68"/>
        <v>-3.770417715798291E-2</v>
      </c>
      <c r="D1125" s="1" t="str">
        <f t="shared" ca="1" si="69"/>
        <v>=B1125/B1124-1</v>
      </c>
      <c r="E1125" s="8">
        <f>VLOOKUP(A1125,'[1]S&amp;P500_DAILY'!$A$8:$B$1768,2,0)</f>
        <v>4057.66</v>
      </c>
      <c r="F1125" s="1">
        <f t="shared" si="70"/>
        <v>-3.3688010821315006E-2</v>
      </c>
      <c r="G1125" s="1" t="str">
        <f t="shared" ca="1" si="71"/>
        <v>=E1125/E1124-1</v>
      </c>
    </row>
    <row r="1126" spans="1:7">
      <c r="A1126" s="14">
        <v>44802</v>
      </c>
      <c r="B1126" s="11">
        <f>VLOOKUP(A1126,[1]HD_price_daily!$A$8:$B$1768,2,0)</f>
        <v>296.32</v>
      </c>
      <c r="C1126">
        <f t="shared" si="68"/>
        <v>-5.9711506205971654E-3</v>
      </c>
      <c r="D1126" s="1" t="str">
        <f t="shared" ca="1" si="69"/>
        <v>=B1126/B1125-1</v>
      </c>
      <c r="E1126" s="8">
        <f>VLOOKUP(A1126,'[1]S&amp;P500_DAILY'!$A$8:$B$1768,2,0)</f>
        <v>4030.61</v>
      </c>
      <c r="F1126" s="1">
        <f t="shared" si="70"/>
        <v>-6.6664037893761074E-3</v>
      </c>
      <c r="G1126" s="1" t="str">
        <f t="shared" ca="1" si="71"/>
        <v>=E1126/E1125-1</v>
      </c>
    </row>
    <row r="1127" spans="1:7">
      <c r="A1127" s="14">
        <v>44803</v>
      </c>
      <c r="B1127" s="11">
        <f>VLOOKUP(A1127,[1]HD_price_daily!$A$8:$B$1768,2,0)</f>
        <v>293.10000000000002</v>
      </c>
      <c r="C1127">
        <f t="shared" si="68"/>
        <v>-1.0866630669546296E-2</v>
      </c>
      <c r="D1127" s="1" t="str">
        <f t="shared" ca="1" si="69"/>
        <v>=B1127/B1126-1</v>
      </c>
      <c r="E1127" s="8">
        <f>VLOOKUP(A1127,'[1]S&amp;P500_DAILY'!$A$8:$B$1768,2,0)</f>
        <v>3986.16</v>
      </c>
      <c r="F1127" s="1">
        <f t="shared" si="70"/>
        <v>-1.1028107408059928E-2</v>
      </c>
      <c r="G1127" s="1" t="str">
        <f t="shared" ca="1" si="71"/>
        <v>=E1127/E1126-1</v>
      </c>
    </row>
    <row r="1128" spans="1:7">
      <c r="A1128" s="14">
        <v>44804</v>
      </c>
      <c r="B1128" s="11">
        <f>VLOOKUP(A1128,[1]HD_price_daily!$A$8:$B$1768,2,0)</f>
        <v>288.42</v>
      </c>
      <c r="C1128">
        <f t="shared" si="68"/>
        <v>-1.5967246673490254E-2</v>
      </c>
      <c r="D1128" s="1" t="str">
        <f t="shared" ca="1" si="69"/>
        <v>=B1128/B1127-1</v>
      </c>
      <c r="E1128" s="8">
        <f>VLOOKUP(A1128,'[1]S&amp;P500_DAILY'!$A$8:$B$1768,2,0)</f>
        <v>3955</v>
      </c>
      <c r="F1128" s="1">
        <f t="shared" si="70"/>
        <v>-7.8170469825595834E-3</v>
      </c>
      <c r="G1128" s="1" t="str">
        <f t="shared" ca="1" si="71"/>
        <v>=E1128/E1127-1</v>
      </c>
    </row>
    <row r="1129" spans="1:7">
      <c r="A1129" s="14">
        <v>44805</v>
      </c>
      <c r="B1129" s="11">
        <f>VLOOKUP(A1129,[1]HD_price_daily!$A$8:$B$1768,2,0)</f>
        <v>293.37</v>
      </c>
      <c r="C1129">
        <f t="shared" si="68"/>
        <v>1.7162471395880896E-2</v>
      </c>
      <c r="D1129" s="1" t="str">
        <f t="shared" ca="1" si="69"/>
        <v>=B1129/B1128-1</v>
      </c>
      <c r="E1129" s="8">
        <f>VLOOKUP(A1129,'[1]S&amp;P500_DAILY'!$A$8:$B$1768,2,0)</f>
        <v>3966.85</v>
      </c>
      <c r="F1129" s="1">
        <f t="shared" si="70"/>
        <v>2.9962073324905081E-3</v>
      </c>
      <c r="G1129" s="1" t="str">
        <f t="shared" ca="1" si="71"/>
        <v>=E1129/E1128-1</v>
      </c>
    </row>
    <row r="1130" spans="1:7">
      <c r="A1130" s="14">
        <v>44806</v>
      </c>
      <c r="B1130" s="11">
        <f>VLOOKUP(A1130,[1]HD_price_daily!$A$8:$B$1768,2,0)</f>
        <v>291.89999999999998</v>
      </c>
      <c r="C1130">
        <f t="shared" si="68"/>
        <v>-5.0107372942019834E-3</v>
      </c>
      <c r="D1130" s="1" t="str">
        <f t="shared" ca="1" si="69"/>
        <v>=B1130/B1129-1</v>
      </c>
      <c r="E1130" s="8">
        <f>VLOOKUP(A1130,'[1]S&amp;P500_DAILY'!$A$8:$B$1768,2,0)</f>
        <v>3924.26</v>
      </c>
      <c r="F1130" s="1">
        <f t="shared" si="70"/>
        <v>-1.0736478566116592E-2</v>
      </c>
      <c r="G1130" s="1" t="str">
        <f t="shared" ca="1" si="71"/>
        <v>=E1130/E1129-1</v>
      </c>
    </row>
    <row r="1131" spans="1:7">
      <c r="A1131" s="14">
        <v>44810</v>
      </c>
      <c r="B1131" s="11">
        <f>VLOOKUP(A1131,[1]HD_price_daily!$A$8:$B$1768,2,0)</f>
        <v>289.54000000000002</v>
      </c>
      <c r="C1131">
        <f t="shared" si="68"/>
        <v>-8.0849606029460563E-3</v>
      </c>
      <c r="D1131" s="1" t="str">
        <f t="shared" ca="1" si="69"/>
        <v>=B1131/B1130-1</v>
      </c>
      <c r="E1131" s="8">
        <f>VLOOKUP(A1131,'[1]S&amp;P500_DAILY'!$A$8:$B$1768,2,0)</f>
        <v>3908.19</v>
      </c>
      <c r="F1131" s="1">
        <f t="shared" si="70"/>
        <v>-4.095039574340209E-3</v>
      </c>
      <c r="G1131" s="1" t="str">
        <f t="shared" ca="1" si="71"/>
        <v>=E1131/E1130-1</v>
      </c>
    </row>
    <row r="1132" spans="1:7">
      <c r="A1132" s="14">
        <v>44811</v>
      </c>
      <c r="B1132" s="11">
        <f>VLOOKUP(A1132,[1]HD_price_daily!$A$8:$B$1768,2,0)</f>
        <v>297.47000000000003</v>
      </c>
      <c r="C1132">
        <f t="shared" si="68"/>
        <v>2.7388271050632129E-2</v>
      </c>
      <c r="D1132" s="1" t="str">
        <f t="shared" ca="1" si="69"/>
        <v>=B1132/B1131-1</v>
      </c>
      <c r="E1132" s="8">
        <f>VLOOKUP(A1132,'[1]S&amp;P500_DAILY'!$A$8:$B$1768,2,0)</f>
        <v>3979.87</v>
      </c>
      <c r="F1132" s="1">
        <f t="shared" si="70"/>
        <v>1.8340971140093032E-2</v>
      </c>
      <c r="G1132" s="1" t="str">
        <f t="shared" ca="1" si="71"/>
        <v>=E1132/E1131-1</v>
      </c>
    </row>
    <row r="1133" spans="1:7">
      <c r="A1133" s="14">
        <v>44812</v>
      </c>
      <c r="B1133" s="11">
        <f>VLOOKUP(A1133,[1]HD_price_daily!$A$8:$B$1768,2,0)</f>
        <v>299.89999999999998</v>
      </c>
      <c r="C1133">
        <f t="shared" si="68"/>
        <v>8.1688909806030274E-3</v>
      </c>
      <c r="D1133" s="1" t="str">
        <f t="shared" ca="1" si="69"/>
        <v>=B1133/B1132-1</v>
      </c>
      <c r="E1133" s="8">
        <f>VLOOKUP(A1133,'[1]S&amp;P500_DAILY'!$A$8:$B$1768,2,0)</f>
        <v>4006.18</v>
      </c>
      <c r="F1133" s="1">
        <f t="shared" si="70"/>
        <v>6.6107686934497867E-3</v>
      </c>
      <c r="G1133" s="1" t="str">
        <f t="shared" ca="1" si="71"/>
        <v>=E1133/E1132-1</v>
      </c>
    </row>
    <row r="1134" spans="1:7">
      <c r="A1134" s="14">
        <v>44813</v>
      </c>
      <c r="B1134" s="11">
        <f>VLOOKUP(A1134,[1]HD_price_daily!$A$8:$B$1768,2,0)</f>
        <v>299.77</v>
      </c>
      <c r="C1134">
        <f t="shared" si="68"/>
        <v>-4.334778259419414E-4</v>
      </c>
      <c r="D1134" s="1" t="str">
        <f t="shared" ca="1" si="69"/>
        <v>=B1134/B1133-1</v>
      </c>
      <c r="E1134" s="8">
        <f>VLOOKUP(A1134,'[1]S&amp;P500_DAILY'!$A$8:$B$1768,2,0)</f>
        <v>4067.36</v>
      </c>
      <c r="F1134" s="1">
        <f t="shared" si="70"/>
        <v>1.5271405678227268E-2</v>
      </c>
      <c r="G1134" s="1" t="str">
        <f t="shared" ca="1" si="71"/>
        <v>=E1134/E1133-1</v>
      </c>
    </row>
    <row r="1135" spans="1:7">
      <c r="A1135" s="14">
        <v>44816</v>
      </c>
      <c r="B1135" s="11">
        <f>VLOOKUP(A1135,[1]HD_price_daily!$A$8:$B$1768,2,0)</f>
        <v>297.54000000000002</v>
      </c>
      <c r="C1135">
        <f t="shared" si="68"/>
        <v>-7.4390365947224479E-3</v>
      </c>
      <c r="D1135" s="1" t="str">
        <f t="shared" ca="1" si="69"/>
        <v>=B1135/B1134-1</v>
      </c>
      <c r="E1135" s="8">
        <f>VLOOKUP(A1135,'[1]S&amp;P500_DAILY'!$A$8:$B$1768,2,0)</f>
        <v>4110.41</v>
      </c>
      <c r="F1135" s="1">
        <f t="shared" si="70"/>
        <v>1.058426104401855E-2</v>
      </c>
      <c r="G1135" s="1" t="str">
        <f t="shared" ca="1" si="71"/>
        <v>=E1135/E1134-1</v>
      </c>
    </row>
    <row r="1136" spans="1:7">
      <c r="A1136" s="14">
        <v>44817</v>
      </c>
      <c r="B1136" s="11">
        <f>VLOOKUP(A1136,[1]HD_price_daily!$A$8:$B$1768,2,0)</f>
        <v>277.93</v>
      </c>
      <c r="C1136">
        <f t="shared" si="68"/>
        <v>-6.5907104927068638E-2</v>
      </c>
      <c r="D1136" s="1" t="str">
        <f t="shared" ca="1" si="69"/>
        <v>=B1136/B1135-1</v>
      </c>
      <c r="E1136" s="8">
        <f>VLOOKUP(A1136,'[1]S&amp;P500_DAILY'!$A$8:$B$1768,2,0)</f>
        <v>3932.69</v>
      </c>
      <c r="F1136" s="1">
        <f t="shared" si="70"/>
        <v>-4.3236562775976095E-2</v>
      </c>
      <c r="G1136" s="1" t="str">
        <f t="shared" ca="1" si="71"/>
        <v>=E1136/E1135-1</v>
      </c>
    </row>
    <row r="1137" spans="1:7">
      <c r="A1137" s="14">
        <v>44818</v>
      </c>
      <c r="B1137" s="11">
        <f>VLOOKUP(A1137,[1]HD_price_daily!$A$8:$B$1768,2,0)</f>
        <v>276.33999999999997</v>
      </c>
      <c r="C1137">
        <f t="shared" si="68"/>
        <v>-5.7208649659987731E-3</v>
      </c>
      <c r="D1137" s="1" t="str">
        <f t="shared" ca="1" si="69"/>
        <v>=B1137/B1136-1</v>
      </c>
      <c r="E1137" s="8">
        <f>VLOOKUP(A1137,'[1]S&amp;P500_DAILY'!$A$8:$B$1768,2,0)</f>
        <v>3946.01</v>
      </c>
      <c r="F1137" s="1">
        <f t="shared" si="70"/>
        <v>3.3869946525153516E-3</v>
      </c>
      <c r="G1137" s="1" t="str">
        <f t="shared" ca="1" si="71"/>
        <v>=E1137/E1136-1</v>
      </c>
    </row>
    <row r="1138" spans="1:7">
      <c r="A1138" s="14">
        <v>44819</v>
      </c>
      <c r="B1138" s="11">
        <f>VLOOKUP(A1138,[1]HD_price_daily!$A$8:$B$1768,2,0)</f>
        <v>271.54000000000002</v>
      </c>
      <c r="C1138">
        <f t="shared" si="68"/>
        <v>-1.7369906636751642E-2</v>
      </c>
      <c r="D1138" s="1" t="str">
        <f t="shared" ca="1" si="69"/>
        <v>=B1138/B1137-1</v>
      </c>
      <c r="E1138" s="8">
        <f>VLOOKUP(A1138,'[1]S&amp;P500_DAILY'!$A$8:$B$1768,2,0)</f>
        <v>3901.35</v>
      </c>
      <c r="F1138" s="1">
        <f t="shared" si="70"/>
        <v>-1.1317761485652666E-2</v>
      </c>
      <c r="G1138" s="1" t="str">
        <f t="shared" ca="1" si="71"/>
        <v>=E1138/E1137-1</v>
      </c>
    </row>
    <row r="1139" spans="1:7">
      <c r="A1139" s="14">
        <v>44820</v>
      </c>
      <c r="B1139" s="11">
        <f>VLOOKUP(A1139,[1]HD_price_daily!$A$8:$B$1768,2,0)</f>
        <v>275.97000000000003</v>
      </c>
      <c r="C1139">
        <f t="shared" si="68"/>
        <v>1.6314355159460892E-2</v>
      </c>
      <c r="D1139" s="1" t="str">
        <f t="shared" ca="1" si="69"/>
        <v>=B1139/B1138-1</v>
      </c>
      <c r="E1139" s="8">
        <f>VLOOKUP(A1139,'[1]S&amp;P500_DAILY'!$A$8:$B$1768,2,0)</f>
        <v>3873.33</v>
      </c>
      <c r="F1139" s="1">
        <f t="shared" si="70"/>
        <v>-7.1821292629474787E-3</v>
      </c>
      <c r="G1139" s="1" t="str">
        <f t="shared" ca="1" si="71"/>
        <v>=E1139/E1138-1</v>
      </c>
    </row>
    <row r="1140" spans="1:7">
      <c r="A1140" s="14">
        <v>44823</v>
      </c>
      <c r="B1140" s="11">
        <f>VLOOKUP(A1140,[1]HD_price_daily!$A$8:$B$1768,2,0)</f>
        <v>280.42</v>
      </c>
      <c r="C1140">
        <f t="shared" si="68"/>
        <v>1.6124941116788083E-2</v>
      </c>
      <c r="D1140" s="1" t="str">
        <f t="shared" ca="1" si="69"/>
        <v>=B1140/B1139-1</v>
      </c>
      <c r="E1140" s="8">
        <f>VLOOKUP(A1140,'[1]S&amp;P500_DAILY'!$A$8:$B$1768,2,0)</f>
        <v>3899.89</v>
      </c>
      <c r="F1140" s="1">
        <f t="shared" si="70"/>
        <v>6.8571487583035662E-3</v>
      </c>
      <c r="G1140" s="1" t="str">
        <f t="shared" ca="1" si="71"/>
        <v>=E1140/E1139-1</v>
      </c>
    </row>
    <row r="1141" spans="1:7">
      <c r="A1141" s="14">
        <v>44824</v>
      </c>
      <c r="B1141" s="11">
        <f>VLOOKUP(A1141,[1]HD_price_daily!$A$8:$B$1768,2,0)</f>
        <v>274.17</v>
      </c>
      <c r="C1141">
        <f t="shared" si="68"/>
        <v>-2.2287996576563773E-2</v>
      </c>
      <c r="D1141" s="1" t="str">
        <f t="shared" ca="1" si="69"/>
        <v>=B1141/B1140-1</v>
      </c>
      <c r="E1141" s="8">
        <f>VLOOKUP(A1141,'[1]S&amp;P500_DAILY'!$A$8:$B$1768,2,0)</f>
        <v>3855.93</v>
      </c>
      <c r="F1141" s="1">
        <f t="shared" si="70"/>
        <v>-1.1272112803181633E-2</v>
      </c>
      <c r="G1141" s="1" t="str">
        <f t="shared" ca="1" si="71"/>
        <v>=E1141/E1140-1</v>
      </c>
    </row>
    <row r="1142" spans="1:7">
      <c r="A1142" s="14">
        <v>44825</v>
      </c>
      <c r="B1142" s="11">
        <f>VLOOKUP(A1142,[1]HD_price_daily!$A$8:$B$1768,2,0)</f>
        <v>271.57</v>
      </c>
      <c r="C1142">
        <f t="shared" si="68"/>
        <v>-9.4831673779043335E-3</v>
      </c>
      <c r="D1142" s="1" t="str">
        <f t="shared" ca="1" si="69"/>
        <v>=B1142/B1141-1</v>
      </c>
      <c r="E1142" s="8">
        <f>VLOOKUP(A1142,'[1]S&amp;P500_DAILY'!$A$8:$B$1768,2,0)</f>
        <v>3789.93</v>
      </c>
      <c r="F1142" s="1">
        <f t="shared" si="70"/>
        <v>-1.7116493297336777E-2</v>
      </c>
      <c r="G1142" s="1" t="str">
        <f t="shared" ca="1" si="71"/>
        <v>=E1142/E1141-1</v>
      </c>
    </row>
    <row r="1143" spans="1:7">
      <c r="A1143" s="14">
        <v>44826</v>
      </c>
      <c r="B1143" s="11">
        <f>VLOOKUP(A1143,[1]HD_price_daily!$A$8:$B$1768,2,0)</f>
        <v>269.14</v>
      </c>
      <c r="C1143">
        <f t="shared" si="68"/>
        <v>-8.9479692160401303E-3</v>
      </c>
      <c r="D1143" s="1" t="str">
        <f t="shared" ca="1" si="69"/>
        <v>=B1143/B1142-1</v>
      </c>
      <c r="E1143" s="8">
        <f>VLOOKUP(A1143,'[1]S&amp;P500_DAILY'!$A$8:$B$1768,2,0)</f>
        <v>3757.99</v>
      </c>
      <c r="F1143" s="1">
        <f t="shared" si="70"/>
        <v>-8.4275962880581146E-3</v>
      </c>
      <c r="G1143" s="1" t="str">
        <f t="shared" ca="1" si="71"/>
        <v>=E1143/E1142-1</v>
      </c>
    </row>
    <row r="1144" spans="1:7">
      <c r="A1144" s="14">
        <v>44827</v>
      </c>
      <c r="B1144" s="11">
        <f>VLOOKUP(A1144,[1]HD_price_daily!$A$8:$B$1768,2,0)</f>
        <v>270.94</v>
      </c>
      <c r="C1144">
        <f t="shared" si="68"/>
        <v>6.6879690867207575E-3</v>
      </c>
      <c r="D1144" s="1" t="str">
        <f t="shared" ca="1" si="69"/>
        <v>=B1144/B1143-1</v>
      </c>
      <c r="E1144" s="8">
        <f>VLOOKUP(A1144,'[1]S&amp;P500_DAILY'!$A$8:$B$1768,2,0)</f>
        <v>3693.23</v>
      </c>
      <c r="F1144" s="1">
        <f t="shared" si="70"/>
        <v>-1.7232616372049869E-2</v>
      </c>
      <c r="G1144" s="1" t="str">
        <f t="shared" ca="1" si="71"/>
        <v>=E1144/E1143-1</v>
      </c>
    </row>
    <row r="1145" spans="1:7">
      <c r="A1145" s="14">
        <v>44830</v>
      </c>
      <c r="B1145" s="11">
        <f>VLOOKUP(A1145,[1]HD_price_daily!$A$8:$B$1768,2,0)</f>
        <v>266.58</v>
      </c>
      <c r="C1145">
        <f t="shared" si="68"/>
        <v>-1.6092123717428297E-2</v>
      </c>
      <c r="D1145" s="1" t="str">
        <f t="shared" ca="1" si="69"/>
        <v>=B1145/B1144-1</v>
      </c>
      <c r="E1145" s="8">
        <f>VLOOKUP(A1145,'[1]S&amp;P500_DAILY'!$A$8:$B$1768,2,0)</f>
        <v>3655.04</v>
      </c>
      <c r="F1145" s="1">
        <f t="shared" si="70"/>
        <v>-1.0340542018774879E-2</v>
      </c>
      <c r="G1145" s="1" t="str">
        <f t="shared" ca="1" si="71"/>
        <v>=E1145/E1144-1</v>
      </c>
    </row>
    <row r="1146" spans="1:7">
      <c r="A1146" s="14">
        <v>44831</v>
      </c>
      <c r="B1146" s="11">
        <f>VLOOKUP(A1146,[1]HD_price_daily!$A$8:$B$1768,2,0)</f>
        <v>268.69</v>
      </c>
      <c r="C1146">
        <f t="shared" si="68"/>
        <v>7.9150723985295102E-3</v>
      </c>
      <c r="D1146" s="1" t="str">
        <f t="shared" ca="1" si="69"/>
        <v>=B1146/B1145-1</v>
      </c>
      <c r="E1146" s="8">
        <f>VLOOKUP(A1146,'[1]S&amp;P500_DAILY'!$A$8:$B$1768,2,0)</f>
        <v>3647.29</v>
      </c>
      <c r="F1146" s="1">
        <f t="shared" si="70"/>
        <v>-2.1203598319033956E-3</v>
      </c>
      <c r="G1146" s="1" t="str">
        <f t="shared" ca="1" si="71"/>
        <v>=E1146/E1145-1</v>
      </c>
    </row>
    <row r="1147" spans="1:7">
      <c r="A1147" s="14">
        <v>44832</v>
      </c>
      <c r="B1147" s="11">
        <f>VLOOKUP(A1147,[1]HD_price_daily!$A$8:$B$1768,2,0)</f>
        <v>282.19</v>
      </c>
      <c r="C1147">
        <f t="shared" si="68"/>
        <v>5.0243775354497755E-2</v>
      </c>
      <c r="D1147" s="1" t="str">
        <f t="shared" ca="1" si="69"/>
        <v>=B1147/B1146-1</v>
      </c>
      <c r="E1147" s="8">
        <f>VLOOKUP(A1147,'[1]S&amp;P500_DAILY'!$A$8:$B$1768,2,0)</f>
        <v>3719.04</v>
      </c>
      <c r="F1147" s="1">
        <f t="shared" si="70"/>
        <v>1.9672140136923533E-2</v>
      </c>
      <c r="G1147" s="1" t="str">
        <f t="shared" ca="1" si="71"/>
        <v>=E1147/E1146-1</v>
      </c>
    </row>
    <row r="1148" spans="1:7">
      <c r="A1148" s="14">
        <v>44833</v>
      </c>
      <c r="B1148" s="11">
        <f>VLOOKUP(A1148,[1]HD_price_daily!$A$8:$B$1768,2,0)</f>
        <v>278.33</v>
      </c>
      <c r="C1148">
        <f t="shared" si="68"/>
        <v>-1.3678727098763277E-2</v>
      </c>
      <c r="D1148" s="1" t="str">
        <f t="shared" ca="1" si="69"/>
        <v>=B1148/B1147-1</v>
      </c>
      <c r="E1148" s="8">
        <f>VLOOKUP(A1148,'[1]S&amp;P500_DAILY'!$A$8:$B$1768,2,0)</f>
        <v>3640.47</v>
      </c>
      <c r="F1148" s="1">
        <f t="shared" si="70"/>
        <v>-2.1126419721218426E-2</v>
      </c>
      <c r="G1148" s="1" t="str">
        <f t="shared" ca="1" si="71"/>
        <v>=E1148/E1147-1</v>
      </c>
    </row>
    <row r="1149" spans="1:7">
      <c r="A1149" s="14">
        <v>44834</v>
      </c>
      <c r="B1149" s="11">
        <f>VLOOKUP(A1149,[1]HD_price_daily!$A$8:$B$1768,2,0)</f>
        <v>275.94</v>
      </c>
      <c r="C1149">
        <f t="shared" si="68"/>
        <v>-8.5869291847806561E-3</v>
      </c>
      <c r="D1149" s="1" t="str">
        <f t="shared" ca="1" si="69"/>
        <v>=B1149/B1148-1</v>
      </c>
      <c r="E1149" s="8">
        <f>VLOOKUP(A1149,'[1]S&amp;P500_DAILY'!$A$8:$B$1768,2,0)</f>
        <v>3585.62</v>
      </c>
      <c r="F1149" s="1">
        <f t="shared" si="70"/>
        <v>-1.506673588849794E-2</v>
      </c>
      <c r="G1149" s="1" t="str">
        <f t="shared" ca="1" si="71"/>
        <v>=E1149/E1148-1</v>
      </c>
    </row>
    <row r="1150" spans="1:7">
      <c r="A1150" s="14">
        <v>44837</v>
      </c>
      <c r="B1150" s="11">
        <f>VLOOKUP(A1150,[1]HD_price_daily!$A$8:$B$1768,2,0)</f>
        <v>283.7</v>
      </c>
      <c r="C1150">
        <f t="shared" si="68"/>
        <v>2.8122055519315792E-2</v>
      </c>
      <c r="D1150" s="1" t="str">
        <f t="shared" ca="1" si="69"/>
        <v>=B1150/B1149-1</v>
      </c>
      <c r="E1150" s="8">
        <f>VLOOKUP(A1150,'[1]S&amp;P500_DAILY'!$A$8:$B$1768,2,0)</f>
        <v>3678.43</v>
      </c>
      <c r="F1150" s="1">
        <f t="shared" si="70"/>
        <v>2.5883947546031072E-2</v>
      </c>
      <c r="G1150" s="1" t="str">
        <f t="shared" ca="1" si="71"/>
        <v>=E1150/E1149-1</v>
      </c>
    </row>
    <row r="1151" spans="1:7">
      <c r="A1151" s="14">
        <v>44838</v>
      </c>
      <c r="B1151" s="11">
        <f>VLOOKUP(A1151,[1]HD_price_daily!$A$8:$B$1768,2,0)</f>
        <v>289.56</v>
      </c>
      <c r="C1151">
        <f t="shared" si="68"/>
        <v>2.0655622136059204E-2</v>
      </c>
      <c r="D1151" s="1" t="str">
        <f t="shared" ca="1" si="69"/>
        <v>=B1151/B1150-1</v>
      </c>
      <c r="E1151" s="8">
        <f>VLOOKUP(A1151,'[1]S&amp;P500_DAILY'!$A$8:$B$1768,2,0)</f>
        <v>3790.93</v>
      </c>
      <c r="F1151" s="1">
        <f t="shared" si="70"/>
        <v>3.0583700111188827E-2</v>
      </c>
      <c r="G1151" s="1" t="str">
        <f t="shared" ca="1" si="71"/>
        <v>=E1151/E1150-1</v>
      </c>
    </row>
    <row r="1152" spans="1:7">
      <c r="A1152" s="14">
        <v>44839</v>
      </c>
      <c r="B1152" s="11">
        <f>VLOOKUP(A1152,[1]HD_price_daily!$A$8:$B$1768,2,0)</f>
        <v>289.85000000000002</v>
      </c>
      <c r="C1152">
        <f t="shared" si="68"/>
        <v>1.0015195468988658E-3</v>
      </c>
      <c r="D1152" s="1" t="str">
        <f t="shared" ca="1" si="69"/>
        <v>=B1152/B1151-1</v>
      </c>
      <c r="E1152" s="8">
        <f>VLOOKUP(A1152,'[1]S&amp;P500_DAILY'!$A$8:$B$1768,2,0)</f>
        <v>3783.28</v>
      </c>
      <c r="F1152" s="1">
        <f t="shared" si="70"/>
        <v>-2.0179744811957834E-3</v>
      </c>
      <c r="G1152" s="1" t="str">
        <f t="shared" ca="1" si="71"/>
        <v>=E1152/E1151-1</v>
      </c>
    </row>
    <row r="1153" spans="1:7">
      <c r="A1153" s="14">
        <v>44840</v>
      </c>
      <c r="B1153" s="11">
        <f>VLOOKUP(A1153,[1]HD_price_daily!$A$8:$B$1768,2,0)</f>
        <v>290.39</v>
      </c>
      <c r="C1153">
        <f t="shared" si="68"/>
        <v>1.8630326030704136E-3</v>
      </c>
      <c r="D1153" s="1" t="str">
        <f t="shared" ca="1" si="69"/>
        <v>=B1153/B1152-1</v>
      </c>
      <c r="E1153" s="8">
        <f>VLOOKUP(A1153,'[1]S&amp;P500_DAILY'!$A$8:$B$1768,2,0)</f>
        <v>3744.52</v>
      </c>
      <c r="F1153" s="1">
        <f t="shared" si="70"/>
        <v>-1.0245078344716774E-2</v>
      </c>
      <c r="G1153" s="1" t="str">
        <f t="shared" ca="1" si="71"/>
        <v>=E1153/E1152-1</v>
      </c>
    </row>
    <row r="1154" spans="1:7">
      <c r="A1154" s="14">
        <v>44841</v>
      </c>
      <c r="B1154" s="11">
        <f>VLOOKUP(A1154,[1]HD_price_daily!$A$8:$B$1768,2,0)</f>
        <v>284.32</v>
      </c>
      <c r="C1154">
        <f t="shared" si="68"/>
        <v>-2.0902923654395833E-2</v>
      </c>
      <c r="D1154" s="1" t="str">
        <f t="shared" ca="1" si="69"/>
        <v>=B1154/B1153-1</v>
      </c>
      <c r="E1154" s="8">
        <f>VLOOKUP(A1154,'[1]S&amp;P500_DAILY'!$A$8:$B$1768,2,0)</f>
        <v>3639.66</v>
      </c>
      <c r="F1154" s="1">
        <f t="shared" si="70"/>
        <v>-2.8003589245083504E-2</v>
      </c>
      <c r="G1154" s="1" t="str">
        <f t="shared" ca="1" si="71"/>
        <v>=E1154/E1153-1</v>
      </c>
    </row>
    <row r="1155" spans="1:7">
      <c r="A1155" s="14">
        <v>44844</v>
      </c>
      <c r="B1155" s="11">
        <f>VLOOKUP(A1155,[1]HD_price_daily!$A$8:$B$1768,2,0)</f>
        <v>282.45999999999998</v>
      </c>
      <c r="C1155">
        <f t="shared" si="68"/>
        <v>-6.5419245920090852E-3</v>
      </c>
      <c r="D1155" s="1" t="str">
        <f t="shared" ca="1" si="69"/>
        <v>=B1155/B1154-1</v>
      </c>
      <c r="E1155" s="8">
        <f>VLOOKUP(A1155,'[1]S&amp;P500_DAILY'!$A$8:$B$1768,2,0)</f>
        <v>3612.39</v>
      </c>
      <c r="F1155" s="1">
        <f t="shared" si="70"/>
        <v>-7.4924580867443691E-3</v>
      </c>
      <c r="G1155" s="1" t="str">
        <f t="shared" ca="1" si="71"/>
        <v>=E1155/E1154-1</v>
      </c>
    </row>
    <row r="1156" spans="1:7">
      <c r="A1156" s="14">
        <v>44845</v>
      </c>
      <c r="B1156" s="11">
        <f>VLOOKUP(A1156,[1]HD_price_daily!$A$8:$B$1768,2,0)</f>
        <v>282.89</v>
      </c>
      <c r="C1156">
        <f t="shared" ref="C1156:C1219" si="72">B1156/B1155-1</f>
        <v>1.5223394462933193E-3</v>
      </c>
      <c r="D1156" s="1" t="str">
        <f t="shared" ref="D1156:D1219" ca="1" si="73">_xlfn.FORMULATEXT(C1156)</f>
        <v>=B1156/B1155-1</v>
      </c>
      <c r="E1156" s="8">
        <f>VLOOKUP(A1156,'[1]S&amp;P500_DAILY'!$A$8:$B$1768,2,0)</f>
        <v>3588.84</v>
      </c>
      <c r="F1156" s="1">
        <f t="shared" ref="F1156:F1219" si="74">E1156/E1155-1</f>
        <v>-6.5192296512833758E-3</v>
      </c>
      <c r="G1156" s="1" t="str">
        <f t="shared" ref="G1156:G1219" ca="1" si="75">_xlfn.FORMULATEXT(F1156)</f>
        <v>=E1156/E1155-1</v>
      </c>
    </row>
    <row r="1157" spans="1:7">
      <c r="A1157" s="14">
        <v>44846</v>
      </c>
      <c r="B1157" s="11">
        <f>VLOOKUP(A1157,[1]HD_price_daily!$A$8:$B$1768,2,0)</f>
        <v>280.52</v>
      </c>
      <c r="C1157">
        <f t="shared" si="72"/>
        <v>-8.3778146982926849E-3</v>
      </c>
      <c r="D1157" s="1" t="str">
        <f t="shared" ca="1" si="73"/>
        <v>=B1157/B1156-1</v>
      </c>
      <c r="E1157" s="8">
        <f>VLOOKUP(A1157,'[1]S&amp;P500_DAILY'!$A$8:$B$1768,2,0)</f>
        <v>3577.03</v>
      </c>
      <c r="F1157" s="1">
        <f t="shared" si="74"/>
        <v>-3.2907569019515748E-3</v>
      </c>
      <c r="G1157" s="1" t="str">
        <f t="shared" ca="1" si="75"/>
        <v>=E1157/E1156-1</v>
      </c>
    </row>
    <row r="1158" spans="1:7">
      <c r="A1158" s="14">
        <v>44847</v>
      </c>
      <c r="B1158" s="11">
        <f>VLOOKUP(A1158,[1]HD_price_daily!$A$8:$B$1768,2,0)</f>
        <v>282.83</v>
      </c>
      <c r="C1158">
        <f t="shared" si="72"/>
        <v>8.2347069727648492E-3</v>
      </c>
      <c r="D1158" s="1" t="str">
        <f t="shared" ca="1" si="73"/>
        <v>=B1158/B1157-1</v>
      </c>
      <c r="E1158" s="8">
        <f>VLOOKUP(A1158,'[1]S&amp;P500_DAILY'!$A$8:$B$1768,2,0)</f>
        <v>3669.91</v>
      </c>
      <c r="F1158" s="1">
        <f t="shared" si="74"/>
        <v>2.5965675434648228E-2</v>
      </c>
      <c r="G1158" s="1" t="str">
        <f t="shared" ca="1" si="75"/>
        <v>=E1158/E1157-1</v>
      </c>
    </row>
    <row r="1159" spans="1:7">
      <c r="A1159" s="14">
        <v>44848</v>
      </c>
      <c r="B1159" s="11">
        <f>VLOOKUP(A1159,[1]HD_price_daily!$A$8:$B$1768,2,0)</f>
        <v>276.43</v>
      </c>
      <c r="C1159">
        <f t="shared" si="72"/>
        <v>-2.262843404165038E-2</v>
      </c>
      <c r="D1159" s="1" t="str">
        <f t="shared" ca="1" si="73"/>
        <v>=B1159/B1158-1</v>
      </c>
      <c r="E1159" s="8">
        <f>VLOOKUP(A1159,'[1]S&amp;P500_DAILY'!$A$8:$B$1768,2,0)</f>
        <v>3583.07</v>
      </c>
      <c r="F1159" s="1">
        <f t="shared" si="74"/>
        <v>-2.3662705624933444E-2</v>
      </c>
      <c r="G1159" s="1" t="str">
        <f t="shared" ca="1" si="75"/>
        <v>=E1159/E1158-1</v>
      </c>
    </row>
    <row r="1160" spans="1:7">
      <c r="A1160" s="14">
        <v>44851</v>
      </c>
      <c r="B1160" s="11">
        <f>VLOOKUP(A1160,[1]HD_price_daily!$A$8:$B$1768,2,0)</f>
        <v>281.26</v>
      </c>
      <c r="C1160">
        <f t="shared" si="72"/>
        <v>1.7472777918460247E-2</v>
      </c>
      <c r="D1160" s="1" t="str">
        <f t="shared" ca="1" si="73"/>
        <v>=B1160/B1159-1</v>
      </c>
      <c r="E1160" s="8">
        <f>VLOOKUP(A1160,'[1]S&amp;P500_DAILY'!$A$8:$B$1768,2,0)</f>
        <v>3677.95</v>
      </c>
      <c r="F1160" s="1">
        <f t="shared" si="74"/>
        <v>2.6480085513260976E-2</v>
      </c>
      <c r="G1160" s="1" t="str">
        <f t="shared" ca="1" si="75"/>
        <v>=E1160/E1159-1</v>
      </c>
    </row>
    <row r="1161" spans="1:7">
      <c r="A1161" s="14">
        <v>44852</v>
      </c>
      <c r="B1161" s="11">
        <f>VLOOKUP(A1161,[1]HD_price_daily!$A$8:$B$1768,2,0)</f>
        <v>285.06</v>
      </c>
      <c r="C1161">
        <f t="shared" si="72"/>
        <v>1.3510630733129636E-2</v>
      </c>
      <c r="D1161" s="1" t="str">
        <f t="shared" ca="1" si="73"/>
        <v>=B1161/B1160-1</v>
      </c>
      <c r="E1161" s="8">
        <f>VLOOKUP(A1161,'[1]S&amp;P500_DAILY'!$A$8:$B$1768,2,0)</f>
        <v>3719.98</v>
      </c>
      <c r="F1161" s="1">
        <f t="shared" si="74"/>
        <v>1.1427561549232745E-2</v>
      </c>
      <c r="G1161" s="1" t="str">
        <f t="shared" ca="1" si="75"/>
        <v>=E1161/E1160-1</v>
      </c>
    </row>
    <row r="1162" spans="1:7">
      <c r="A1162" s="14">
        <v>44853</v>
      </c>
      <c r="B1162" s="11">
        <f>VLOOKUP(A1162,[1]HD_price_daily!$A$8:$B$1768,2,0)</f>
        <v>275.49</v>
      </c>
      <c r="C1162">
        <f t="shared" si="72"/>
        <v>-3.3571879604293864E-2</v>
      </c>
      <c r="D1162" s="1" t="str">
        <f t="shared" ca="1" si="73"/>
        <v>=B1162/B1161-1</v>
      </c>
      <c r="E1162" s="8">
        <f>VLOOKUP(A1162,'[1]S&amp;P500_DAILY'!$A$8:$B$1768,2,0)</f>
        <v>3695.16</v>
      </c>
      <c r="F1162" s="1">
        <f t="shared" si="74"/>
        <v>-6.6720788821446053E-3</v>
      </c>
      <c r="G1162" s="1" t="str">
        <f t="shared" ca="1" si="75"/>
        <v>=E1162/E1161-1</v>
      </c>
    </row>
    <row r="1163" spans="1:7">
      <c r="A1163" s="14">
        <v>44854</v>
      </c>
      <c r="B1163" s="11">
        <f>VLOOKUP(A1163,[1]HD_price_daily!$A$8:$B$1768,2,0)</f>
        <v>269.45999999999998</v>
      </c>
      <c r="C1163">
        <f t="shared" si="72"/>
        <v>-2.1888271806599247E-2</v>
      </c>
      <c r="D1163" s="1" t="str">
        <f t="shared" ca="1" si="73"/>
        <v>=B1163/B1162-1</v>
      </c>
      <c r="E1163" s="8">
        <f>VLOOKUP(A1163,'[1]S&amp;P500_DAILY'!$A$8:$B$1768,2,0)</f>
        <v>3665.78</v>
      </c>
      <c r="F1163" s="1">
        <f t="shared" si="74"/>
        <v>-7.9509412312320782E-3</v>
      </c>
      <c r="G1163" s="1" t="str">
        <f t="shared" ca="1" si="75"/>
        <v>=E1163/E1162-1</v>
      </c>
    </row>
    <row r="1164" spans="1:7">
      <c r="A1164" s="14">
        <v>44855</v>
      </c>
      <c r="B1164" s="11">
        <f>VLOOKUP(A1164,[1]HD_price_daily!$A$8:$B$1768,2,0)</f>
        <v>275.52999999999997</v>
      </c>
      <c r="C1164">
        <f t="shared" si="72"/>
        <v>2.2526534550582733E-2</v>
      </c>
      <c r="D1164" s="1" t="str">
        <f t="shared" ca="1" si="73"/>
        <v>=B1164/B1163-1</v>
      </c>
      <c r="E1164" s="8">
        <f>VLOOKUP(A1164,'[1]S&amp;P500_DAILY'!$A$8:$B$1768,2,0)</f>
        <v>3752.75</v>
      </c>
      <c r="F1164" s="1">
        <f t="shared" si="74"/>
        <v>2.3724828003862664E-2</v>
      </c>
      <c r="G1164" s="1" t="str">
        <f t="shared" ca="1" si="75"/>
        <v>=E1164/E1163-1</v>
      </c>
    </row>
    <row r="1165" spans="1:7">
      <c r="A1165" s="14">
        <v>44858</v>
      </c>
      <c r="B1165" s="11">
        <f>VLOOKUP(A1165,[1]HD_price_daily!$A$8:$B$1768,2,0)</f>
        <v>283.26</v>
      </c>
      <c r="C1165">
        <f t="shared" si="72"/>
        <v>2.8055021231807808E-2</v>
      </c>
      <c r="D1165" s="1" t="str">
        <f t="shared" ca="1" si="73"/>
        <v>=B1165/B1164-1</v>
      </c>
      <c r="E1165" s="8">
        <f>VLOOKUP(A1165,'[1]S&amp;P500_DAILY'!$A$8:$B$1768,2,0)</f>
        <v>3797.34</v>
      </c>
      <c r="F1165" s="1">
        <f t="shared" si="74"/>
        <v>1.1881953234294862E-2</v>
      </c>
      <c r="G1165" s="1" t="str">
        <f t="shared" ca="1" si="75"/>
        <v>=E1165/E1164-1</v>
      </c>
    </row>
    <row r="1166" spans="1:7">
      <c r="A1166" s="14">
        <v>44859</v>
      </c>
      <c r="B1166" s="11">
        <f>VLOOKUP(A1166,[1]HD_price_daily!$A$8:$B$1768,2,0)</f>
        <v>290.26</v>
      </c>
      <c r="C1166">
        <f t="shared" si="72"/>
        <v>2.4712278472075022E-2</v>
      </c>
      <c r="D1166" s="1" t="str">
        <f t="shared" ca="1" si="73"/>
        <v>=B1166/B1165-1</v>
      </c>
      <c r="E1166" s="8">
        <f>VLOOKUP(A1166,'[1]S&amp;P500_DAILY'!$A$8:$B$1768,2,0)</f>
        <v>3859.11</v>
      </c>
      <c r="F1166" s="1">
        <f t="shared" si="74"/>
        <v>1.6266649812763712E-2</v>
      </c>
      <c r="G1166" s="1" t="str">
        <f t="shared" ca="1" si="75"/>
        <v>=E1166/E1165-1</v>
      </c>
    </row>
    <row r="1167" spans="1:7">
      <c r="A1167" s="14">
        <v>44860</v>
      </c>
      <c r="B1167" s="11">
        <f>VLOOKUP(A1167,[1]HD_price_daily!$A$8:$B$1768,2,0)</f>
        <v>290.14999999999998</v>
      </c>
      <c r="C1167">
        <f t="shared" si="72"/>
        <v>-3.7897057810243329E-4</v>
      </c>
      <c r="D1167" s="1" t="str">
        <f t="shared" ca="1" si="73"/>
        <v>=B1167/B1166-1</v>
      </c>
      <c r="E1167" s="8">
        <f>VLOOKUP(A1167,'[1]S&amp;P500_DAILY'!$A$8:$B$1768,2,0)</f>
        <v>3830.6</v>
      </c>
      <c r="F1167" s="1">
        <f t="shared" si="74"/>
        <v>-7.3877137474703813E-3</v>
      </c>
      <c r="G1167" s="1" t="str">
        <f t="shared" ca="1" si="75"/>
        <v>=E1167/E1166-1</v>
      </c>
    </row>
    <row r="1168" spans="1:7">
      <c r="A1168" s="14">
        <v>44861</v>
      </c>
      <c r="B1168" s="11">
        <f>VLOOKUP(A1168,[1]HD_price_daily!$A$8:$B$1768,2,0)</f>
        <v>291.06</v>
      </c>
      <c r="C1168">
        <f t="shared" si="72"/>
        <v>3.1363088057902999E-3</v>
      </c>
      <c r="D1168" s="1" t="str">
        <f t="shared" ca="1" si="73"/>
        <v>=B1168/B1167-1</v>
      </c>
      <c r="E1168" s="8">
        <f>VLOOKUP(A1168,'[1]S&amp;P500_DAILY'!$A$8:$B$1768,2,0)</f>
        <v>3807.3</v>
      </c>
      <c r="F1168" s="1">
        <f t="shared" si="74"/>
        <v>-6.0825980264187507E-3</v>
      </c>
      <c r="G1168" s="1" t="str">
        <f t="shared" ca="1" si="75"/>
        <v>=E1168/E1167-1</v>
      </c>
    </row>
    <row r="1169" spans="1:7">
      <c r="A1169" s="14">
        <v>44862</v>
      </c>
      <c r="B1169" s="11">
        <f>VLOOKUP(A1169,[1]HD_price_daily!$A$8:$B$1768,2,0)</f>
        <v>298.64999999999998</v>
      </c>
      <c r="C1169">
        <f t="shared" si="72"/>
        <v>2.6077097505668778E-2</v>
      </c>
      <c r="D1169" s="1" t="str">
        <f t="shared" ca="1" si="73"/>
        <v>=B1169/B1168-1</v>
      </c>
      <c r="E1169" s="8">
        <f>VLOOKUP(A1169,'[1]S&amp;P500_DAILY'!$A$8:$B$1768,2,0)</f>
        <v>3901.06</v>
      </c>
      <c r="F1169" s="1">
        <f t="shared" si="74"/>
        <v>2.4626375646783716E-2</v>
      </c>
      <c r="G1169" s="1" t="str">
        <f t="shared" ca="1" si="75"/>
        <v>=E1169/E1168-1</v>
      </c>
    </row>
    <row r="1170" spans="1:7">
      <c r="A1170" s="14">
        <v>44865</v>
      </c>
      <c r="B1170" s="11">
        <f>VLOOKUP(A1170,[1]HD_price_daily!$A$8:$B$1768,2,0)</f>
        <v>296.13</v>
      </c>
      <c r="C1170">
        <f t="shared" si="72"/>
        <v>-8.4379708689100719E-3</v>
      </c>
      <c r="D1170" s="1" t="str">
        <f t="shared" ca="1" si="73"/>
        <v>=B1170/B1169-1</v>
      </c>
      <c r="E1170" s="8">
        <f>VLOOKUP(A1170,'[1]S&amp;P500_DAILY'!$A$8:$B$1768,2,0)</f>
        <v>3871.98</v>
      </c>
      <c r="F1170" s="1">
        <f t="shared" si="74"/>
        <v>-7.4543841930141408E-3</v>
      </c>
      <c r="G1170" s="1" t="str">
        <f t="shared" ca="1" si="75"/>
        <v>=E1170/E1169-1</v>
      </c>
    </row>
    <row r="1171" spans="1:7">
      <c r="A1171" s="14">
        <v>44866</v>
      </c>
      <c r="B1171" s="11">
        <f>VLOOKUP(A1171,[1]HD_price_daily!$A$8:$B$1768,2,0)</f>
        <v>296.06</v>
      </c>
      <c r="C1171">
        <f t="shared" si="72"/>
        <v>-2.3638266977343836E-4</v>
      </c>
      <c r="D1171" s="1" t="str">
        <f t="shared" ca="1" si="73"/>
        <v>=B1171/B1170-1</v>
      </c>
      <c r="E1171" s="8">
        <f>VLOOKUP(A1171,'[1]S&amp;P500_DAILY'!$A$8:$B$1768,2,0)</f>
        <v>3856.1</v>
      </c>
      <c r="F1171" s="1">
        <f t="shared" si="74"/>
        <v>-4.10126085362017E-3</v>
      </c>
      <c r="G1171" s="1" t="str">
        <f t="shared" ca="1" si="75"/>
        <v>=E1171/E1170-1</v>
      </c>
    </row>
    <row r="1172" spans="1:7">
      <c r="A1172" s="14">
        <v>44867</v>
      </c>
      <c r="B1172" s="11">
        <f>VLOOKUP(A1172,[1]HD_price_daily!$A$8:$B$1768,2,0)</f>
        <v>288.73</v>
      </c>
      <c r="C1172">
        <f t="shared" si="72"/>
        <v>-2.4758494899682404E-2</v>
      </c>
      <c r="D1172" s="1" t="str">
        <f t="shared" ca="1" si="73"/>
        <v>=B1172/B1171-1</v>
      </c>
      <c r="E1172" s="8">
        <f>VLOOKUP(A1172,'[1]S&amp;P500_DAILY'!$A$8:$B$1768,2,0)</f>
        <v>3759.69</v>
      </c>
      <c r="F1172" s="1">
        <f t="shared" si="74"/>
        <v>-2.5001944970306722E-2</v>
      </c>
      <c r="G1172" s="1" t="str">
        <f t="shared" ca="1" si="75"/>
        <v>=E1172/E1171-1</v>
      </c>
    </row>
    <row r="1173" spans="1:7">
      <c r="A1173" s="14">
        <v>44868</v>
      </c>
      <c r="B1173" s="11">
        <f>VLOOKUP(A1173,[1]HD_price_daily!$A$8:$B$1768,2,0)</f>
        <v>281.5</v>
      </c>
      <c r="C1173">
        <f t="shared" si="72"/>
        <v>-2.5040695459425777E-2</v>
      </c>
      <c r="D1173" s="1" t="str">
        <f t="shared" ca="1" si="73"/>
        <v>=B1173/B1172-1</v>
      </c>
      <c r="E1173" s="8">
        <f>VLOOKUP(A1173,'[1]S&amp;P500_DAILY'!$A$8:$B$1768,2,0)</f>
        <v>3719.89</v>
      </c>
      <c r="F1173" s="1">
        <f t="shared" si="74"/>
        <v>-1.0585979163175718E-2</v>
      </c>
      <c r="G1173" s="1" t="str">
        <f t="shared" ca="1" si="75"/>
        <v>=E1173/E1172-1</v>
      </c>
    </row>
    <row r="1174" spans="1:7">
      <c r="A1174" s="14">
        <v>44869</v>
      </c>
      <c r="B1174" s="11">
        <f>VLOOKUP(A1174,[1]HD_price_daily!$A$8:$B$1768,2,0)</f>
        <v>284.02999999999997</v>
      </c>
      <c r="C1174">
        <f t="shared" si="72"/>
        <v>8.9875666074599181E-3</v>
      </c>
      <c r="D1174" s="1" t="str">
        <f t="shared" ca="1" si="73"/>
        <v>=B1174/B1173-1</v>
      </c>
      <c r="E1174" s="8">
        <f>VLOOKUP(A1174,'[1]S&amp;P500_DAILY'!$A$8:$B$1768,2,0)</f>
        <v>3770.55</v>
      </c>
      <c r="F1174" s="1">
        <f t="shared" si="74"/>
        <v>1.3618682272863003E-2</v>
      </c>
      <c r="G1174" s="1" t="str">
        <f t="shared" ca="1" si="75"/>
        <v>=E1174/E1173-1</v>
      </c>
    </row>
    <row r="1175" spans="1:7">
      <c r="A1175" s="14">
        <v>44872</v>
      </c>
      <c r="B1175" s="11">
        <f>VLOOKUP(A1175,[1]HD_price_daily!$A$8:$B$1768,2,0)</f>
        <v>290.27</v>
      </c>
      <c r="C1175">
        <f t="shared" si="72"/>
        <v>2.1969510263000425E-2</v>
      </c>
      <c r="D1175" s="1" t="str">
        <f t="shared" ca="1" si="73"/>
        <v>=B1175/B1174-1</v>
      </c>
      <c r="E1175" s="8">
        <f>VLOOKUP(A1175,'[1]S&amp;P500_DAILY'!$A$8:$B$1768,2,0)</f>
        <v>3806.8</v>
      </c>
      <c r="F1175" s="1">
        <f t="shared" si="74"/>
        <v>9.6139820450598101E-3</v>
      </c>
      <c r="G1175" s="1" t="str">
        <f t="shared" ca="1" si="75"/>
        <v>=E1175/E1174-1</v>
      </c>
    </row>
    <row r="1176" spans="1:7">
      <c r="A1176" s="14">
        <v>44873</v>
      </c>
      <c r="B1176" s="11">
        <f>VLOOKUP(A1176,[1]HD_price_daily!$A$8:$B$1768,2,0)</f>
        <v>291.14</v>
      </c>
      <c r="C1176">
        <f t="shared" si="72"/>
        <v>2.997209494608466E-3</v>
      </c>
      <c r="D1176" s="1" t="str">
        <f t="shared" ca="1" si="73"/>
        <v>=B1176/B1175-1</v>
      </c>
      <c r="E1176" s="8">
        <f>VLOOKUP(A1176,'[1]S&amp;P500_DAILY'!$A$8:$B$1768,2,0)</f>
        <v>3828.11</v>
      </c>
      <c r="F1176" s="1">
        <f t="shared" si="74"/>
        <v>5.5978774823999267E-3</v>
      </c>
      <c r="G1176" s="1" t="str">
        <f t="shared" ca="1" si="75"/>
        <v>=E1176/E1175-1</v>
      </c>
    </row>
    <row r="1177" spans="1:7">
      <c r="A1177" s="14">
        <v>44874</v>
      </c>
      <c r="B1177" s="11">
        <f>VLOOKUP(A1177,[1]HD_price_daily!$A$8:$B$1768,2,0)</f>
        <v>286.75</v>
      </c>
      <c r="C1177">
        <f t="shared" si="72"/>
        <v>-1.50786563165487E-2</v>
      </c>
      <c r="D1177" s="1" t="str">
        <f t="shared" ca="1" si="73"/>
        <v>=B1177/B1176-1</v>
      </c>
      <c r="E1177" s="8">
        <f>VLOOKUP(A1177,'[1]S&amp;P500_DAILY'!$A$8:$B$1768,2,0)</f>
        <v>3748.57</v>
      </c>
      <c r="F1177" s="1">
        <f t="shared" si="74"/>
        <v>-2.0777877333723382E-2</v>
      </c>
      <c r="G1177" s="1" t="str">
        <f t="shared" ca="1" si="75"/>
        <v>=E1177/E1176-1</v>
      </c>
    </row>
    <row r="1178" spans="1:7">
      <c r="A1178" s="14">
        <v>44875</v>
      </c>
      <c r="B1178" s="11">
        <f>VLOOKUP(A1178,[1]HD_price_daily!$A$8:$B$1768,2,0)</f>
        <v>311.7</v>
      </c>
      <c r="C1178">
        <f t="shared" si="72"/>
        <v>8.7009590235396672E-2</v>
      </c>
      <c r="D1178" s="1" t="str">
        <f t="shared" ca="1" si="73"/>
        <v>=B1178/B1177-1</v>
      </c>
      <c r="E1178" s="8">
        <f>VLOOKUP(A1178,'[1]S&amp;P500_DAILY'!$A$8:$B$1768,2,0)</f>
        <v>3956.37</v>
      </c>
      <c r="F1178" s="1">
        <f t="shared" si="74"/>
        <v>5.5434472345454289E-2</v>
      </c>
      <c r="G1178" s="1" t="str">
        <f t="shared" ca="1" si="75"/>
        <v>=E1178/E1177-1</v>
      </c>
    </row>
    <row r="1179" spans="1:7">
      <c r="A1179" s="14">
        <v>44876</v>
      </c>
      <c r="B1179" s="11">
        <f>VLOOKUP(A1179,[1]HD_price_daily!$A$8:$B$1768,2,0)</f>
        <v>314.94</v>
      </c>
      <c r="C1179">
        <f t="shared" si="72"/>
        <v>1.0394610202117516E-2</v>
      </c>
      <c r="D1179" s="1" t="str">
        <f t="shared" ca="1" si="73"/>
        <v>=B1179/B1178-1</v>
      </c>
      <c r="E1179" s="8">
        <f>VLOOKUP(A1179,'[1]S&amp;P500_DAILY'!$A$8:$B$1768,2,0)</f>
        <v>3992.93</v>
      </c>
      <c r="F1179" s="1">
        <f t="shared" si="74"/>
        <v>9.2407939601200084E-3</v>
      </c>
      <c r="G1179" s="1" t="str">
        <f t="shared" ca="1" si="75"/>
        <v>=E1179/E1178-1</v>
      </c>
    </row>
    <row r="1180" spans="1:7">
      <c r="A1180" s="14">
        <v>44879</v>
      </c>
      <c r="B1180" s="11">
        <f>VLOOKUP(A1180,[1]HD_price_daily!$A$8:$B$1768,2,0)</f>
        <v>306.92</v>
      </c>
      <c r="C1180">
        <f t="shared" si="72"/>
        <v>-2.5465167968501845E-2</v>
      </c>
      <c r="D1180" s="1" t="str">
        <f t="shared" ca="1" si="73"/>
        <v>=B1180/B1179-1</v>
      </c>
      <c r="E1180" s="8">
        <f>VLOOKUP(A1180,'[1]S&amp;P500_DAILY'!$A$8:$B$1768,2,0)</f>
        <v>3957.25</v>
      </c>
      <c r="F1180" s="1">
        <f t="shared" si="74"/>
        <v>-8.9357940159231486E-3</v>
      </c>
      <c r="G1180" s="1" t="str">
        <f t="shared" ca="1" si="75"/>
        <v>=E1180/E1179-1</v>
      </c>
    </row>
    <row r="1181" spans="1:7">
      <c r="A1181" s="14">
        <v>44880</v>
      </c>
      <c r="B1181" s="11">
        <f>VLOOKUP(A1181,[1]HD_price_daily!$A$8:$B$1768,2,0)</f>
        <v>311.93</v>
      </c>
      <c r="C1181">
        <f t="shared" si="72"/>
        <v>1.6323471914505339E-2</v>
      </c>
      <c r="D1181" s="1" t="str">
        <f t="shared" ca="1" si="73"/>
        <v>=B1181/B1180-1</v>
      </c>
      <c r="E1181" s="8">
        <f>VLOOKUP(A1181,'[1]S&amp;P500_DAILY'!$A$8:$B$1768,2,0)</f>
        <v>3991.73</v>
      </c>
      <c r="F1181" s="1">
        <f t="shared" si="74"/>
        <v>8.7131214858804373E-3</v>
      </c>
      <c r="G1181" s="1" t="str">
        <f t="shared" ca="1" si="75"/>
        <v>=E1181/E1180-1</v>
      </c>
    </row>
    <row r="1182" spans="1:7">
      <c r="A1182" s="14">
        <v>44881</v>
      </c>
      <c r="B1182" s="11">
        <f>VLOOKUP(A1182,[1]HD_price_daily!$A$8:$B$1768,2,0)</f>
        <v>314.91000000000003</v>
      </c>
      <c r="C1182">
        <f t="shared" si="72"/>
        <v>9.5534254480171832E-3</v>
      </c>
      <c r="D1182" s="1" t="str">
        <f t="shared" ca="1" si="73"/>
        <v>=B1182/B1181-1</v>
      </c>
      <c r="E1182" s="8">
        <f>VLOOKUP(A1182,'[1]S&amp;P500_DAILY'!$A$8:$B$1768,2,0)</f>
        <v>3958.79</v>
      </c>
      <c r="F1182" s="1">
        <f t="shared" si="74"/>
        <v>-8.2520611363995355E-3</v>
      </c>
      <c r="G1182" s="1" t="str">
        <f t="shared" ca="1" si="75"/>
        <v>=E1182/E1181-1</v>
      </c>
    </row>
    <row r="1183" spans="1:7">
      <c r="A1183" s="14">
        <v>44882</v>
      </c>
      <c r="B1183" s="11">
        <f>VLOOKUP(A1183,[1]HD_price_daily!$A$8:$B$1768,2,0)</f>
        <v>311.44</v>
      </c>
      <c r="C1183">
        <f t="shared" si="72"/>
        <v>-1.1019021307675292E-2</v>
      </c>
      <c r="D1183" s="1" t="str">
        <f t="shared" ca="1" si="73"/>
        <v>=B1183/B1182-1</v>
      </c>
      <c r="E1183" s="8">
        <f>VLOOKUP(A1183,'[1]S&amp;P500_DAILY'!$A$8:$B$1768,2,0)</f>
        <v>3946.56</v>
      </c>
      <c r="F1183" s="1">
        <f t="shared" si="74"/>
        <v>-3.0893277996559831E-3</v>
      </c>
      <c r="G1183" s="1" t="str">
        <f t="shared" ca="1" si="75"/>
        <v>=E1183/E1182-1</v>
      </c>
    </row>
    <row r="1184" spans="1:7">
      <c r="A1184" s="14">
        <v>44883</v>
      </c>
      <c r="B1184" s="11">
        <f>VLOOKUP(A1184,[1]HD_price_daily!$A$8:$B$1768,2,0)</f>
        <v>313.18</v>
      </c>
      <c r="C1184">
        <f t="shared" si="72"/>
        <v>5.5869509375803261E-3</v>
      </c>
      <c r="D1184" s="1" t="str">
        <f t="shared" ca="1" si="73"/>
        <v>=B1184/B1183-1</v>
      </c>
      <c r="E1184" s="8">
        <f>VLOOKUP(A1184,'[1]S&amp;P500_DAILY'!$A$8:$B$1768,2,0)</f>
        <v>3965.34</v>
      </c>
      <c r="F1184" s="1">
        <f t="shared" si="74"/>
        <v>4.7585745560692061E-3</v>
      </c>
      <c r="G1184" s="1" t="str">
        <f t="shared" ca="1" si="75"/>
        <v>=E1184/E1183-1</v>
      </c>
    </row>
    <row r="1185" spans="1:7">
      <c r="A1185" s="14">
        <v>44886</v>
      </c>
      <c r="B1185" s="11">
        <f>VLOOKUP(A1185,[1]HD_price_daily!$A$8:$B$1768,2,0)</f>
        <v>316.77999999999997</v>
      </c>
      <c r="C1185">
        <f t="shared" si="72"/>
        <v>1.1494986908487048E-2</v>
      </c>
      <c r="D1185" s="1" t="str">
        <f t="shared" ca="1" si="73"/>
        <v>=B1185/B1184-1</v>
      </c>
      <c r="E1185" s="8">
        <f>VLOOKUP(A1185,'[1]S&amp;P500_DAILY'!$A$8:$B$1768,2,0)</f>
        <v>3949.94</v>
      </c>
      <c r="F1185" s="1">
        <f t="shared" si="74"/>
        <v>-3.8836518432215916E-3</v>
      </c>
      <c r="G1185" s="1" t="str">
        <f t="shared" ca="1" si="75"/>
        <v>=E1185/E1184-1</v>
      </c>
    </row>
    <row r="1186" spans="1:7">
      <c r="A1186" s="14">
        <v>44887</v>
      </c>
      <c r="B1186" s="11">
        <f>VLOOKUP(A1186,[1]HD_price_daily!$A$8:$B$1768,2,0)</f>
        <v>324.88</v>
      </c>
      <c r="C1186">
        <f t="shared" si="72"/>
        <v>2.5569796072984374E-2</v>
      </c>
      <c r="D1186" s="1" t="str">
        <f t="shared" ca="1" si="73"/>
        <v>=B1186/B1185-1</v>
      </c>
      <c r="E1186" s="8">
        <f>VLOOKUP(A1186,'[1]S&amp;P500_DAILY'!$A$8:$B$1768,2,0)</f>
        <v>4003.58</v>
      </c>
      <c r="F1186" s="1">
        <f t="shared" si="74"/>
        <v>1.3579953113211918E-2</v>
      </c>
      <c r="G1186" s="1" t="str">
        <f t="shared" ca="1" si="75"/>
        <v>=E1186/E1185-1</v>
      </c>
    </row>
    <row r="1187" spans="1:7">
      <c r="A1187" s="14">
        <v>44888</v>
      </c>
      <c r="B1187" s="11">
        <f>VLOOKUP(A1187,[1]HD_price_daily!$A$8:$B$1768,2,0)</f>
        <v>321.51</v>
      </c>
      <c r="C1187">
        <f t="shared" si="72"/>
        <v>-1.0373060822457592E-2</v>
      </c>
      <c r="D1187" s="1" t="str">
        <f t="shared" ca="1" si="73"/>
        <v>=B1187/B1186-1</v>
      </c>
      <c r="E1187" s="8">
        <f>VLOOKUP(A1187,'[1]S&amp;P500_DAILY'!$A$8:$B$1768,2,0)</f>
        <v>4027.26</v>
      </c>
      <c r="F1187" s="1">
        <f t="shared" si="74"/>
        <v>5.9147063378277576E-3</v>
      </c>
      <c r="G1187" s="1" t="str">
        <f t="shared" ca="1" si="75"/>
        <v>=E1187/E1186-1</v>
      </c>
    </row>
    <row r="1188" spans="1:7">
      <c r="A1188" s="14">
        <v>44890</v>
      </c>
      <c r="B1188" s="11">
        <f>VLOOKUP(A1188,[1]HD_price_daily!$A$8:$B$1768,2,0)</f>
        <v>326.38</v>
      </c>
      <c r="C1188">
        <f t="shared" si="72"/>
        <v>1.5147273801747962E-2</v>
      </c>
      <c r="D1188" s="1" t="str">
        <f t="shared" ca="1" si="73"/>
        <v>=B1188/B1187-1</v>
      </c>
      <c r="E1188" s="8">
        <f>VLOOKUP(A1188,'[1]S&amp;P500_DAILY'!$A$8:$B$1768,2,0)</f>
        <v>4026.12</v>
      </c>
      <c r="F1188" s="1">
        <f t="shared" si="74"/>
        <v>-2.830708720074071E-4</v>
      </c>
      <c r="G1188" s="1" t="str">
        <f t="shared" ca="1" si="75"/>
        <v>=E1188/E1187-1</v>
      </c>
    </row>
    <row r="1189" spans="1:7">
      <c r="A1189" s="14">
        <v>44893</v>
      </c>
      <c r="B1189" s="11">
        <f>VLOOKUP(A1189,[1]HD_price_daily!$A$8:$B$1768,2,0)</f>
        <v>318.92</v>
      </c>
      <c r="C1189">
        <f t="shared" si="72"/>
        <v>-2.285679269563079E-2</v>
      </c>
      <c r="D1189" s="1" t="str">
        <f t="shared" ca="1" si="73"/>
        <v>=B1189/B1188-1</v>
      </c>
      <c r="E1189" s="8">
        <f>VLOOKUP(A1189,'[1]S&amp;P500_DAILY'!$A$8:$B$1768,2,0)</f>
        <v>3963.94</v>
      </c>
      <c r="F1189" s="1">
        <f t="shared" si="74"/>
        <v>-1.5444149702443011E-2</v>
      </c>
      <c r="G1189" s="1" t="str">
        <f t="shared" ca="1" si="75"/>
        <v>=E1189/E1188-1</v>
      </c>
    </row>
    <row r="1190" spans="1:7">
      <c r="A1190" s="14">
        <v>44894</v>
      </c>
      <c r="B1190" s="11">
        <f>VLOOKUP(A1190,[1]HD_price_daily!$A$8:$B$1768,2,0)</f>
        <v>315.95999999999998</v>
      </c>
      <c r="C1190">
        <f t="shared" si="72"/>
        <v>-9.2813244700866715E-3</v>
      </c>
      <c r="D1190" s="1" t="str">
        <f t="shared" ca="1" si="73"/>
        <v>=B1190/B1189-1</v>
      </c>
      <c r="E1190" s="8">
        <f>VLOOKUP(A1190,'[1]S&amp;P500_DAILY'!$A$8:$B$1768,2,0)</f>
        <v>3957.63</v>
      </c>
      <c r="F1190" s="1">
        <f t="shared" si="74"/>
        <v>-1.5918505325509535E-3</v>
      </c>
      <c r="G1190" s="1" t="str">
        <f t="shared" ca="1" si="75"/>
        <v>=E1190/E1189-1</v>
      </c>
    </row>
    <row r="1191" spans="1:7">
      <c r="A1191" s="14">
        <v>44895</v>
      </c>
      <c r="B1191" s="11">
        <f>VLOOKUP(A1191,[1]HD_price_daily!$A$8:$B$1768,2,0)</f>
        <v>323.99</v>
      </c>
      <c r="C1191">
        <f t="shared" si="72"/>
        <v>2.5414609444233571E-2</v>
      </c>
      <c r="D1191" s="1" t="str">
        <f t="shared" ca="1" si="73"/>
        <v>=B1191/B1190-1</v>
      </c>
      <c r="E1191" s="8">
        <f>VLOOKUP(A1191,'[1]S&amp;P500_DAILY'!$A$8:$B$1768,2,0)</f>
        <v>4080.11</v>
      </c>
      <c r="F1191" s="1">
        <f t="shared" si="74"/>
        <v>3.0947814727501077E-2</v>
      </c>
      <c r="G1191" s="1" t="str">
        <f t="shared" ca="1" si="75"/>
        <v>=E1191/E1190-1</v>
      </c>
    </row>
    <row r="1192" spans="1:7">
      <c r="A1192" s="14">
        <v>44896</v>
      </c>
      <c r="B1192" s="11">
        <f>VLOOKUP(A1192,[1]HD_price_daily!$A$8:$B$1768,2,0)</f>
        <v>327.07</v>
      </c>
      <c r="C1192">
        <f t="shared" si="72"/>
        <v>9.5064662489583451E-3</v>
      </c>
      <c r="D1192" s="1" t="str">
        <f t="shared" ca="1" si="73"/>
        <v>=B1192/B1191-1</v>
      </c>
      <c r="E1192" s="8">
        <f>VLOOKUP(A1192,'[1]S&amp;P500_DAILY'!$A$8:$B$1768,2,0)</f>
        <v>4076.57</v>
      </c>
      <c r="F1192" s="1">
        <f t="shared" si="74"/>
        <v>-8.6762366700898763E-4</v>
      </c>
      <c r="G1192" s="1" t="str">
        <f t="shared" ca="1" si="75"/>
        <v>=E1192/E1191-1</v>
      </c>
    </row>
    <row r="1193" spans="1:7">
      <c r="A1193" s="14">
        <v>44897</v>
      </c>
      <c r="B1193" s="11">
        <f>VLOOKUP(A1193,[1]HD_price_daily!$A$8:$B$1768,2,0)</f>
        <v>327.99</v>
      </c>
      <c r="C1193">
        <f t="shared" si="72"/>
        <v>2.8128535175957481E-3</v>
      </c>
      <c r="D1193" s="1" t="str">
        <f t="shared" ca="1" si="73"/>
        <v>=B1193/B1192-1</v>
      </c>
      <c r="E1193" s="8">
        <f>VLOOKUP(A1193,'[1]S&amp;P500_DAILY'!$A$8:$B$1768,2,0)</f>
        <v>4071.7</v>
      </c>
      <c r="F1193" s="1">
        <f t="shared" si="74"/>
        <v>-1.1946317615054713E-3</v>
      </c>
      <c r="G1193" s="1" t="str">
        <f t="shared" ca="1" si="75"/>
        <v>=E1193/E1192-1</v>
      </c>
    </row>
    <row r="1194" spans="1:7">
      <c r="A1194" s="14">
        <v>44900</v>
      </c>
      <c r="B1194" s="11">
        <f>VLOOKUP(A1194,[1]HD_price_daily!$A$8:$B$1768,2,0)</f>
        <v>320.08</v>
      </c>
      <c r="C1194">
        <f t="shared" si="72"/>
        <v>-2.4116588920394033E-2</v>
      </c>
      <c r="D1194" s="1" t="str">
        <f t="shared" ca="1" si="73"/>
        <v>=B1194/B1193-1</v>
      </c>
      <c r="E1194" s="8">
        <f>VLOOKUP(A1194,'[1]S&amp;P500_DAILY'!$A$8:$B$1768,2,0)</f>
        <v>3998.84</v>
      </c>
      <c r="F1194" s="1">
        <f t="shared" si="74"/>
        <v>-1.7894245646781326E-2</v>
      </c>
      <c r="G1194" s="1" t="str">
        <f t="shared" ca="1" si="75"/>
        <v>=E1194/E1193-1</v>
      </c>
    </row>
    <row r="1195" spans="1:7">
      <c r="A1195" s="14">
        <v>44901</v>
      </c>
      <c r="B1195" s="11">
        <f>VLOOKUP(A1195,[1]HD_price_daily!$A$8:$B$1768,2,0)</f>
        <v>317.45</v>
      </c>
      <c r="C1195">
        <f t="shared" si="72"/>
        <v>-8.2166958260434519E-3</v>
      </c>
      <c r="D1195" s="1" t="str">
        <f t="shared" ca="1" si="73"/>
        <v>=B1195/B1194-1</v>
      </c>
      <c r="E1195" s="8">
        <f>VLOOKUP(A1195,'[1]S&amp;P500_DAILY'!$A$8:$B$1768,2,0)</f>
        <v>3941.26</v>
      </c>
      <c r="F1195" s="1">
        <f t="shared" si="74"/>
        <v>-1.4399175760970717E-2</v>
      </c>
      <c r="G1195" s="1" t="str">
        <f t="shared" ca="1" si="75"/>
        <v>=E1195/E1194-1</v>
      </c>
    </row>
    <row r="1196" spans="1:7">
      <c r="A1196" s="14">
        <v>44902</v>
      </c>
      <c r="B1196" s="11">
        <f>VLOOKUP(A1196,[1]HD_price_daily!$A$8:$B$1768,2,0)</f>
        <v>320.14999999999998</v>
      </c>
      <c r="C1196">
        <f t="shared" si="72"/>
        <v>8.5052764214836873E-3</v>
      </c>
      <c r="D1196" s="1" t="str">
        <f t="shared" ca="1" si="73"/>
        <v>=B1196/B1195-1</v>
      </c>
      <c r="E1196" s="8">
        <f>VLOOKUP(A1196,'[1]S&amp;P500_DAILY'!$A$8:$B$1768,2,0)</f>
        <v>3933.92</v>
      </c>
      <c r="F1196" s="1">
        <f t="shared" si="74"/>
        <v>-1.8623485890298941E-3</v>
      </c>
      <c r="G1196" s="1" t="str">
        <f t="shared" ca="1" si="75"/>
        <v>=E1196/E1195-1</v>
      </c>
    </row>
    <row r="1197" spans="1:7">
      <c r="A1197" s="14">
        <v>44903</v>
      </c>
      <c r="B1197" s="11">
        <f>VLOOKUP(A1197,[1]HD_price_daily!$A$8:$B$1768,2,0)</f>
        <v>324.08999999999997</v>
      </c>
      <c r="C1197">
        <f t="shared" si="72"/>
        <v>1.2306731219740685E-2</v>
      </c>
      <c r="D1197" s="1" t="str">
        <f t="shared" ca="1" si="73"/>
        <v>=B1197/B1196-1</v>
      </c>
      <c r="E1197" s="8">
        <f>VLOOKUP(A1197,'[1]S&amp;P500_DAILY'!$A$8:$B$1768,2,0)</f>
        <v>3963.51</v>
      </c>
      <c r="F1197" s="1">
        <f t="shared" si="74"/>
        <v>7.5217594663847809E-3</v>
      </c>
      <c r="G1197" s="1" t="str">
        <f t="shared" ca="1" si="75"/>
        <v>=E1197/E1196-1</v>
      </c>
    </row>
    <row r="1198" spans="1:7">
      <c r="A1198" s="14">
        <v>44904</v>
      </c>
      <c r="B1198" s="11">
        <f>VLOOKUP(A1198,[1]HD_price_daily!$A$8:$B$1768,2,0)</f>
        <v>320.48</v>
      </c>
      <c r="C1198">
        <f t="shared" si="72"/>
        <v>-1.1138881174982074E-2</v>
      </c>
      <c r="D1198" s="1" t="str">
        <f t="shared" ca="1" si="73"/>
        <v>=B1198/B1197-1</v>
      </c>
      <c r="E1198" s="8">
        <f>VLOOKUP(A1198,'[1]S&amp;P500_DAILY'!$A$8:$B$1768,2,0)</f>
        <v>3934.38</v>
      </c>
      <c r="F1198" s="1">
        <f t="shared" si="74"/>
        <v>-7.3495462355336327E-3</v>
      </c>
      <c r="G1198" s="1" t="str">
        <f t="shared" ca="1" si="75"/>
        <v>=E1198/E1197-1</v>
      </c>
    </row>
    <row r="1199" spans="1:7">
      <c r="A1199" s="14">
        <v>44907</v>
      </c>
      <c r="B1199" s="11">
        <f>VLOOKUP(A1199,[1]HD_price_daily!$A$8:$B$1768,2,0)</f>
        <v>327.98</v>
      </c>
      <c r="C1199">
        <f t="shared" si="72"/>
        <v>2.340239640539199E-2</v>
      </c>
      <c r="D1199" s="1" t="str">
        <f t="shared" ca="1" si="73"/>
        <v>=B1199/B1198-1</v>
      </c>
      <c r="E1199" s="8">
        <f>VLOOKUP(A1199,'[1]S&amp;P500_DAILY'!$A$8:$B$1768,2,0)</f>
        <v>3990.56</v>
      </c>
      <c r="F1199" s="1">
        <f t="shared" si="74"/>
        <v>1.4279251114533986E-2</v>
      </c>
      <c r="G1199" s="1" t="str">
        <f t="shared" ca="1" si="75"/>
        <v>=E1199/E1198-1</v>
      </c>
    </row>
    <row r="1200" spans="1:7">
      <c r="A1200" s="14">
        <v>44908</v>
      </c>
      <c r="B1200" s="11">
        <f>VLOOKUP(A1200,[1]HD_price_daily!$A$8:$B$1768,2,0)</f>
        <v>332.89</v>
      </c>
      <c r="C1200">
        <f t="shared" si="72"/>
        <v>1.4970425025916168E-2</v>
      </c>
      <c r="D1200" s="1" t="str">
        <f t="shared" ca="1" si="73"/>
        <v>=B1200/B1199-1</v>
      </c>
      <c r="E1200" s="8">
        <f>VLOOKUP(A1200,'[1]S&amp;P500_DAILY'!$A$8:$B$1768,2,0)</f>
        <v>4019.65</v>
      </c>
      <c r="F1200" s="1">
        <f t="shared" si="74"/>
        <v>7.289703700733785E-3</v>
      </c>
      <c r="G1200" s="1" t="str">
        <f t="shared" ca="1" si="75"/>
        <v>=E1200/E1199-1</v>
      </c>
    </row>
    <row r="1201" spans="1:7">
      <c r="A1201" s="14">
        <v>44909</v>
      </c>
      <c r="B1201" s="11">
        <f>VLOOKUP(A1201,[1]HD_price_daily!$A$8:$B$1768,2,0)</f>
        <v>333.43</v>
      </c>
      <c r="C1201">
        <f t="shared" si="72"/>
        <v>1.6221574694343932E-3</v>
      </c>
      <c r="D1201" s="1" t="str">
        <f t="shared" ca="1" si="73"/>
        <v>=B1201/B1200-1</v>
      </c>
      <c r="E1201" s="8">
        <f>VLOOKUP(A1201,'[1]S&amp;P500_DAILY'!$A$8:$B$1768,2,0)</f>
        <v>3995.32</v>
      </c>
      <c r="F1201" s="1">
        <f t="shared" si="74"/>
        <v>-6.0527657880661279E-3</v>
      </c>
      <c r="G1201" s="1" t="str">
        <f t="shared" ca="1" si="75"/>
        <v>=E1201/E1200-1</v>
      </c>
    </row>
    <row r="1202" spans="1:7">
      <c r="A1202" s="14">
        <v>44910</v>
      </c>
      <c r="B1202" s="11">
        <f>VLOOKUP(A1202,[1]HD_price_daily!$A$8:$B$1768,2,0)</f>
        <v>327.60000000000002</v>
      </c>
      <c r="C1202">
        <f t="shared" si="72"/>
        <v>-1.7484929370482516E-2</v>
      </c>
      <c r="D1202" s="1" t="str">
        <f t="shared" ca="1" si="73"/>
        <v>=B1202/B1201-1</v>
      </c>
      <c r="E1202" s="8">
        <f>VLOOKUP(A1202,'[1]S&amp;P500_DAILY'!$A$8:$B$1768,2,0)</f>
        <v>3895.75</v>
      </c>
      <c r="F1202" s="1">
        <f t="shared" si="74"/>
        <v>-2.4921658340258168E-2</v>
      </c>
      <c r="G1202" s="1" t="str">
        <f t="shared" ca="1" si="75"/>
        <v>=E1202/E1201-1</v>
      </c>
    </row>
    <row r="1203" spans="1:7">
      <c r="A1203" s="14">
        <v>44911</v>
      </c>
      <c r="B1203" s="11">
        <f>VLOOKUP(A1203,[1]HD_price_daily!$A$8:$B$1768,2,0)</f>
        <v>323.33999999999997</v>
      </c>
      <c r="C1203">
        <f t="shared" si="72"/>
        <v>-1.300366300366318E-2</v>
      </c>
      <c r="D1203" s="1" t="str">
        <f t="shared" ca="1" si="73"/>
        <v>=B1203/B1202-1</v>
      </c>
      <c r="E1203" s="8">
        <f>VLOOKUP(A1203,'[1]S&amp;P500_DAILY'!$A$8:$B$1768,2,0)</f>
        <v>3852.36</v>
      </c>
      <c r="F1203" s="1">
        <f t="shared" si="74"/>
        <v>-1.1137778348199956E-2</v>
      </c>
      <c r="G1203" s="1" t="str">
        <f t="shared" ca="1" si="75"/>
        <v>=E1203/E1202-1</v>
      </c>
    </row>
    <row r="1204" spans="1:7">
      <c r="A1204" s="14">
        <v>44914</v>
      </c>
      <c r="B1204" s="11">
        <f>VLOOKUP(A1204,[1]HD_price_daily!$A$8:$B$1768,2,0)</f>
        <v>317.33</v>
      </c>
      <c r="C1204">
        <f t="shared" si="72"/>
        <v>-1.858724562380154E-2</v>
      </c>
      <c r="D1204" s="1" t="str">
        <f t="shared" ca="1" si="73"/>
        <v>=B1204/B1203-1</v>
      </c>
      <c r="E1204" s="8">
        <f>VLOOKUP(A1204,'[1]S&amp;P500_DAILY'!$A$8:$B$1768,2,0)</f>
        <v>3817.66</v>
      </c>
      <c r="F1204" s="1">
        <f t="shared" si="74"/>
        <v>-9.007465553582783E-3</v>
      </c>
      <c r="G1204" s="1" t="str">
        <f t="shared" ca="1" si="75"/>
        <v>=E1204/E1203-1</v>
      </c>
    </row>
    <row r="1205" spans="1:7">
      <c r="A1205" s="14">
        <v>44915</v>
      </c>
      <c r="B1205" s="11">
        <f>VLOOKUP(A1205,[1]HD_price_daily!$A$8:$B$1768,2,0)</f>
        <v>314.83999999999997</v>
      </c>
      <c r="C1205">
        <f t="shared" si="72"/>
        <v>-7.8467210790029718E-3</v>
      </c>
      <c r="D1205" s="1" t="str">
        <f t="shared" ca="1" si="73"/>
        <v>=B1205/B1204-1</v>
      </c>
      <c r="E1205" s="8">
        <f>VLOOKUP(A1205,'[1]S&amp;P500_DAILY'!$A$8:$B$1768,2,0)</f>
        <v>3821.62</v>
      </c>
      <c r="F1205" s="1">
        <f t="shared" si="74"/>
        <v>1.0372846193742458E-3</v>
      </c>
      <c r="G1205" s="1" t="str">
        <f t="shared" ca="1" si="75"/>
        <v>=E1205/E1204-1</v>
      </c>
    </row>
    <row r="1206" spans="1:7">
      <c r="A1206" s="14">
        <v>44916</v>
      </c>
      <c r="B1206" s="11">
        <f>VLOOKUP(A1206,[1]HD_price_daily!$A$8:$B$1768,2,0)</f>
        <v>319.36</v>
      </c>
      <c r="C1206">
        <f t="shared" si="72"/>
        <v>1.435649853894061E-2</v>
      </c>
      <c r="D1206" s="1" t="str">
        <f t="shared" ca="1" si="73"/>
        <v>=B1206/B1205-1</v>
      </c>
      <c r="E1206" s="8">
        <f>VLOOKUP(A1206,'[1]S&amp;P500_DAILY'!$A$8:$B$1768,2,0)</f>
        <v>3878.44</v>
      </c>
      <c r="F1206" s="1">
        <f t="shared" si="74"/>
        <v>1.4868040255179737E-2</v>
      </c>
      <c r="G1206" s="1" t="str">
        <f t="shared" ca="1" si="75"/>
        <v>=E1206/E1205-1</v>
      </c>
    </row>
    <row r="1207" spans="1:7">
      <c r="A1207" s="14">
        <v>44917</v>
      </c>
      <c r="B1207" s="11">
        <f>VLOOKUP(A1207,[1]HD_price_daily!$A$8:$B$1768,2,0)</f>
        <v>316.12</v>
      </c>
      <c r="C1207">
        <f t="shared" si="72"/>
        <v>-1.0145290581162314E-2</v>
      </c>
      <c r="D1207" s="1" t="str">
        <f t="shared" ca="1" si="73"/>
        <v>=B1207/B1206-1</v>
      </c>
      <c r="E1207" s="8">
        <f>VLOOKUP(A1207,'[1]S&amp;P500_DAILY'!$A$8:$B$1768,2,0)</f>
        <v>3822.39</v>
      </c>
      <c r="F1207" s="1">
        <f t="shared" si="74"/>
        <v>-1.4451686760656446E-2</v>
      </c>
      <c r="G1207" s="1" t="str">
        <f t="shared" ca="1" si="75"/>
        <v>=E1207/E1206-1</v>
      </c>
    </row>
    <row r="1208" spans="1:7">
      <c r="A1208" s="14">
        <v>44918</v>
      </c>
      <c r="B1208" s="11">
        <f>VLOOKUP(A1208,[1]HD_price_daily!$A$8:$B$1768,2,0)</f>
        <v>318.73</v>
      </c>
      <c r="C1208">
        <f t="shared" si="72"/>
        <v>8.2563583449324351E-3</v>
      </c>
      <c r="D1208" s="1" t="str">
        <f t="shared" ca="1" si="73"/>
        <v>=B1208/B1207-1</v>
      </c>
      <c r="E1208" s="8">
        <f>VLOOKUP(A1208,'[1]S&amp;P500_DAILY'!$A$8:$B$1768,2,0)</f>
        <v>3844.82</v>
      </c>
      <c r="F1208" s="1">
        <f t="shared" si="74"/>
        <v>5.8680563731070556E-3</v>
      </c>
      <c r="G1208" s="1" t="str">
        <f t="shared" ca="1" si="75"/>
        <v>=E1208/E1207-1</v>
      </c>
    </row>
    <row r="1209" spans="1:7">
      <c r="A1209" s="14">
        <v>44922</v>
      </c>
      <c r="B1209" s="11">
        <f>VLOOKUP(A1209,[1]HD_price_daily!$A$8:$B$1768,2,0)</f>
        <v>319.55</v>
      </c>
      <c r="C1209">
        <f t="shared" si="72"/>
        <v>2.5727104445769644E-3</v>
      </c>
      <c r="D1209" s="1" t="str">
        <f t="shared" ca="1" si="73"/>
        <v>=B1209/B1208-1</v>
      </c>
      <c r="E1209" s="8">
        <f>VLOOKUP(A1209,'[1]S&amp;P500_DAILY'!$A$8:$B$1768,2,0)</f>
        <v>3829.25</v>
      </c>
      <c r="F1209" s="1">
        <f t="shared" si="74"/>
        <v>-4.0496044028068834E-3</v>
      </c>
      <c r="G1209" s="1" t="str">
        <f t="shared" ca="1" si="75"/>
        <v>=E1209/E1208-1</v>
      </c>
    </row>
    <row r="1210" spans="1:7">
      <c r="A1210" s="14">
        <v>44923</v>
      </c>
      <c r="B1210" s="11">
        <f>VLOOKUP(A1210,[1]HD_price_daily!$A$8:$B$1768,2,0)</f>
        <v>315.73</v>
      </c>
      <c r="C1210">
        <f t="shared" si="72"/>
        <v>-1.1954310749491492E-2</v>
      </c>
      <c r="D1210" s="1" t="str">
        <f t="shared" ca="1" si="73"/>
        <v>=B1210/B1209-1</v>
      </c>
      <c r="E1210" s="8">
        <f>VLOOKUP(A1210,'[1]S&amp;P500_DAILY'!$A$8:$B$1768,2,0)</f>
        <v>3783.22</v>
      </c>
      <c r="F1210" s="1">
        <f t="shared" si="74"/>
        <v>-1.202063067180259E-2</v>
      </c>
      <c r="G1210" s="1" t="str">
        <f t="shared" ca="1" si="75"/>
        <v>=E1210/E1209-1</v>
      </c>
    </row>
    <row r="1211" spans="1:7">
      <c r="A1211" s="14">
        <v>44924</v>
      </c>
      <c r="B1211" s="11">
        <f>VLOOKUP(A1211,[1]HD_price_daily!$A$8:$B$1768,2,0)</f>
        <v>320.41000000000003</v>
      </c>
      <c r="C1211">
        <f t="shared" si="72"/>
        <v>1.4822791625756171E-2</v>
      </c>
      <c r="D1211" s="1" t="str">
        <f t="shared" ca="1" si="73"/>
        <v>=B1211/B1210-1</v>
      </c>
      <c r="E1211" s="8">
        <f>VLOOKUP(A1211,'[1]S&amp;P500_DAILY'!$A$8:$B$1768,2,0)</f>
        <v>3849.28</v>
      </c>
      <c r="F1211" s="1">
        <f t="shared" si="74"/>
        <v>1.7461316021801565E-2</v>
      </c>
      <c r="G1211" s="1" t="str">
        <f t="shared" ca="1" si="75"/>
        <v>=E1211/E1210-1</v>
      </c>
    </row>
    <row r="1212" spans="1:7">
      <c r="A1212" s="14">
        <v>44925</v>
      </c>
      <c r="B1212" s="11">
        <f>VLOOKUP(A1212,[1]HD_price_daily!$A$8:$B$1768,2,0)</f>
        <v>315.86</v>
      </c>
      <c r="C1212">
        <f t="shared" si="72"/>
        <v>-1.4200555538216642E-2</v>
      </c>
      <c r="D1212" s="1" t="str">
        <f t="shared" ca="1" si="73"/>
        <v>=B1212/B1211-1</v>
      </c>
      <c r="E1212" s="8">
        <f>VLOOKUP(A1212,'[1]S&amp;P500_DAILY'!$A$8:$B$1768,2,0)</f>
        <v>3839.5</v>
      </c>
      <c r="F1212" s="1">
        <f t="shared" si="74"/>
        <v>-2.5407348906808513E-3</v>
      </c>
      <c r="G1212" s="1" t="str">
        <f t="shared" ca="1" si="75"/>
        <v>=E1212/E1211-1</v>
      </c>
    </row>
    <row r="1213" spans="1:7">
      <c r="A1213" s="14">
        <v>44929</v>
      </c>
      <c r="B1213" s="11">
        <f>VLOOKUP(A1213,[1]HD_price_daily!$A$8:$B$1768,2,0)</f>
        <v>315.91000000000003</v>
      </c>
      <c r="C1213">
        <f t="shared" si="72"/>
        <v>1.5829798011779417E-4</v>
      </c>
      <c r="D1213" s="1" t="str">
        <f t="shared" ca="1" si="73"/>
        <v>=B1213/B1212-1</v>
      </c>
      <c r="E1213" s="8">
        <f>VLOOKUP(A1213,'[1]S&amp;P500_DAILY'!$A$8:$B$1768,2,0)</f>
        <v>3824.14</v>
      </c>
      <c r="F1213" s="1">
        <f t="shared" si="74"/>
        <v>-4.0005209011589882E-3</v>
      </c>
      <c r="G1213" s="1" t="str">
        <f t="shared" ca="1" si="75"/>
        <v>=E1213/E1212-1</v>
      </c>
    </row>
    <row r="1214" spans="1:7">
      <c r="A1214" s="14">
        <v>44930</v>
      </c>
      <c r="B1214" s="11">
        <f>VLOOKUP(A1214,[1]HD_price_daily!$A$8:$B$1768,2,0)</f>
        <v>319.73</v>
      </c>
      <c r="C1214">
        <f t="shared" si="72"/>
        <v>1.2092051533664661E-2</v>
      </c>
      <c r="D1214" s="1" t="str">
        <f t="shared" ca="1" si="73"/>
        <v>=B1214/B1213-1</v>
      </c>
      <c r="E1214" s="8">
        <f>VLOOKUP(A1214,'[1]S&amp;P500_DAILY'!$A$8:$B$1768,2,0)</f>
        <v>3852.97</v>
      </c>
      <c r="F1214" s="1">
        <f t="shared" si="74"/>
        <v>7.5389499338414101E-3</v>
      </c>
      <c r="G1214" s="1" t="str">
        <f t="shared" ca="1" si="75"/>
        <v>=E1214/E1213-1</v>
      </c>
    </row>
    <row r="1215" spans="1:7">
      <c r="A1215" s="14">
        <v>44931</v>
      </c>
      <c r="B1215" s="11">
        <f>VLOOKUP(A1215,[1]HD_price_daily!$A$8:$B$1768,2,0)</f>
        <v>315.47000000000003</v>
      </c>
      <c r="C1215">
        <f t="shared" si="72"/>
        <v>-1.3323741907234177E-2</v>
      </c>
      <c r="D1215" s="1" t="str">
        <f t="shared" ca="1" si="73"/>
        <v>=B1215/B1214-1</v>
      </c>
      <c r="E1215" s="8">
        <f>VLOOKUP(A1215,'[1]S&amp;P500_DAILY'!$A$8:$B$1768,2,0)</f>
        <v>3808.1</v>
      </c>
      <c r="F1215" s="1">
        <f t="shared" si="74"/>
        <v>-1.164556173549236E-2</v>
      </c>
      <c r="G1215" s="1" t="str">
        <f t="shared" ca="1" si="75"/>
        <v>=E1215/E1214-1</v>
      </c>
    </row>
    <row r="1216" spans="1:7">
      <c r="A1216" s="14">
        <v>44932</v>
      </c>
      <c r="B1216" s="11">
        <f>VLOOKUP(A1216,[1]HD_price_daily!$A$8:$B$1768,2,0)</f>
        <v>317.52999999999997</v>
      </c>
      <c r="C1216">
        <f t="shared" si="72"/>
        <v>6.5299394554154677E-3</v>
      </c>
      <c r="D1216" s="1" t="str">
        <f t="shared" ca="1" si="73"/>
        <v>=B1216/B1215-1</v>
      </c>
      <c r="E1216" s="8">
        <f>VLOOKUP(A1216,'[1]S&amp;P500_DAILY'!$A$8:$B$1768,2,0)</f>
        <v>3895.08</v>
      </c>
      <c r="F1216" s="1">
        <f t="shared" si="74"/>
        <v>2.284078674404566E-2</v>
      </c>
      <c r="G1216" s="1" t="str">
        <f t="shared" ca="1" si="75"/>
        <v>=E1216/E1215-1</v>
      </c>
    </row>
    <row r="1217" spans="1:7">
      <c r="A1217" s="14">
        <v>44935</v>
      </c>
      <c r="B1217" s="11">
        <f>VLOOKUP(A1217,[1]HD_price_daily!$A$8:$B$1768,2,0)</f>
        <v>317.81</v>
      </c>
      <c r="C1217">
        <f t="shared" si="72"/>
        <v>8.818064434856776E-4</v>
      </c>
      <c r="D1217" s="1" t="str">
        <f t="shared" ca="1" si="73"/>
        <v>=B1217/B1216-1</v>
      </c>
      <c r="E1217" s="8">
        <f>VLOOKUP(A1217,'[1]S&amp;P500_DAILY'!$A$8:$B$1768,2,0)</f>
        <v>3892.09</v>
      </c>
      <c r="F1217" s="1">
        <f t="shared" si="74"/>
        <v>-7.6763506782906443E-4</v>
      </c>
      <c r="G1217" s="1" t="str">
        <f t="shared" ca="1" si="75"/>
        <v>=E1217/E1216-1</v>
      </c>
    </row>
    <row r="1218" spans="1:7">
      <c r="A1218" s="14">
        <v>44936</v>
      </c>
      <c r="B1218" s="11">
        <f>VLOOKUP(A1218,[1]HD_price_daily!$A$8:$B$1768,2,0)</f>
        <v>320.63</v>
      </c>
      <c r="C1218">
        <f t="shared" si="72"/>
        <v>8.8732261414052882E-3</v>
      </c>
      <c r="D1218" s="1" t="str">
        <f t="shared" ca="1" si="73"/>
        <v>=B1218/B1217-1</v>
      </c>
      <c r="E1218" s="8">
        <f>VLOOKUP(A1218,'[1]S&amp;P500_DAILY'!$A$8:$B$1768,2,0)</f>
        <v>3919.25</v>
      </c>
      <c r="F1218" s="1">
        <f t="shared" si="74"/>
        <v>6.9782558985018728E-3</v>
      </c>
      <c r="G1218" s="1" t="str">
        <f t="shared" ca="1" si="75"/>
        <v>=E1218/E1217-1</v>
      </c>
    </row>
    <row r="1219" spans="1:7">
      <c r="A1219" s="14">
        <v>44937</v>
      </c>
      <c r="B1219" s="11">
        <f>VLOOKUP(A1219,[1]HD_price_daily!$A$8:$B$1768,2,0)</f>
        <v>329</v>
      </c>
      <c r="C1219">
        <f t="shared" si="72"/>
        <v>2.6104856064622872E-2</v>
      </c>
      <c r="D1219" s="1" t="str">
        <f t="shared" ca="1" si="73"/>
        <v>=B1219/B1218-1</v>
      </c>
      <c r="E1219" s="8">
        <f>VLOOKUP(A1219,'[1]S&amp;P500_DAILY'!$A$8:$B$1768,2,0)</f>
        <v>3969.61</v>
      </c>
      <c r="F1219" s="1">
        <f t="shared" si="74"/>
        <v>1.2849397206098123E-2</v>
      </c>
      <c r="G1219" s="1" t="str">
        <f t="shared" ca="1" si="75"/>
        <v>=E1219/E1218-1</v>
      </c>
    </row>
    <row r="1220" spans="1:7">
      <c r="A1220" s="14">
        <v>44938</v>
      </c>
      <c r="B1220" s="11">
        <f>VLOOKUP(A1220,[1]HD_price_daily!$A$8:$B$1768,2,0)</f>
        <v>329.87</v>
      </c>
      <c r="C1220">
        <f t="shared" ref="C1220:C1283" si="76">B1220/B1219-1</f>
        <v>2.6443768996959882E-3</v>
      </c>
      <c r="D1220" s="1" t="str">
        <f t="shared" ref="D1220:D1283" ca="1" si="77">_xlfn.FORMULATEXT(C1220)</f>
        <v>=B1220/B1219-1</v>
      </c>
      <c r="E1220" s="8">
        <f>VLOOKUP(A1220,'[1]S&amp;P500_DAILY'!$A$8:$B$1768,2,0)</f>
        <v>3983.17</v>
      </c>
      <c r="F1220" s="1">
        <f t="shared" ref="F1220:F1283" si="78">E1220/E1219-1</f>
        <v>3.41595270064321E-3</v>
      </c>
      <c r="G1220" s="1" t="str">
        <f t="shared" ref="G1220:G1283" ca="1" si="79">_xlfn.FORMULATEXT(F1220)</f>
        <v>=E1220/E1219-1</v>
      </c>
    </row>
    <row r="1221" spans="1:7">
      <c r="A1221" s="14">
        <v>44939</v>
      </c>
      <c r="B1221" s="11">
        <f>VLOOKUP(A1221,[1]HD_price_daily!$A$8:$B$1768,2,0)</f>
        <v>331.21</v>
      </c>
      <c r="C1221">
        <f t="shared" si="76"/>
        <v>4.0622063237032435E-3</v>
      </c>
      <c r="D1221" s="1" t="str">
        <f t="shared" ca="1" si="77"/>
        <v>=B1221/B1220-1</v>
      </c>
      <c r="E1221" s="8">
        <f>VLOOKUP(A1221,'[1]S&amp;P500_DAILY'!$A$8:$B$1768,2,0)</f>
        <v>3999.09</v>
      </c>
      <c r="F1221" s="1">
        <f t="shared" si="78"/>
        <v>3.9968166058692578E-3</v>
      </c>
      <c r="G1221" s="1" t="str">
        <f t="shared" ca="1" si="79"/>
        <v>=E1221/E1220-1</v>
      </c>
    </row>
    <row r="1222" spans="1:7">
      <c r="A1222" s="14">
        <v>44943</v>
      </c>
      <c r="B1222" s="11">
        <f>VLOOKUP(A1222,[1]HD_price_daily!$A$8:$B$1768,2,0)</f>
        <v>327.52999999999997</v>
      </c>
      <c r="C1222">
        <f t="shared" si="76"/>
        <v>-1.1110775640832071E-2</v>
      </c>
      <c r="D1222" s="1" t="str">
        <f t="shared" ca="1" si="77"/>
        <v>=B1222/B1221-1</v>
      </c>
      <c r="E1222" s="8">
        <f>VLOOKUP(A1222,'[1]S&amp;P500_DAILY'!$A$8:$B$1768,2,0)</f>
        <v>3990.97</v>
      </c>
      <c r="F1222" s="1">
        <f t="shared" si="78"/>
        <v>-2.0304619300891558E-3</v>
      </c>
      <c r="G1222" s="1" t="str">
        <f t="shared" ca="1" si="79"/>
        <v>=E1222/E1221-1</v>
      </c>
    </row>
    <row r="1223" spans="1:7">
      <c r="A1223" s="14">
        <v>44944</v>
      </c>
      <c r="B1223" s="11">
        <f>VLOOKUP(A1223,[1]HD_price_daily!$A$8:$B$1768,2,0)</f>
        <v>323.69</v>
      </c>
      <c r="C1223">
        <f t="shared" si="76"/>
        <v>-1.1724116874790025E-2</v>
      </c>
      <c r="D1223" s="1" t="str">
        <f t="shared" ca="1" si="77"/>
        <v>=B1223/B1222-1</v>
      </c>
      <c r="E1223" s="8">
        <f>VLOOKUP(A1223,'[1]S&amp;P500_DAILY'!$A$8:$B$1768,2,0)</f>
        <v>3928.86</v>
      </c>
      <c r="F1223" s="1">
        <f t="shared" si="78"/>
        <v>-1.5562632643191909E-2</v>
      </c>
      <c r="G1223" s="1" t="str">
        <f t="shared" ca="1" si="79"/>
        <v>=E1223/E1222-1</v>
      </c>
    </row>
    <row r="1224" spans="1:7">
      <c r="A1224" s="14">
        <v>44945</v>
      </c>
      <c r="B1224" s="11">
        <f>VLOOKUP(A1224,[1]HD_price_daily!$A$8:$B$1768,2,0)</f>
        <v>310.88</v>
      </c>
      <c r="C1224">
        <f t="shared" si="76"/>
        <v>-3.957490191232349E-2</v>
      </c>
      <c r="D1224" s="1" t="str">
        <f t="shared" ca="1" si="77"/>
        <v>=B1224/B1223-1</v>
      </c>
      <c r="E1224" s="8">
        <f>VLOOKUP(A1224,'[1]S&amp;P500_DAILY'!$A$8:$B$1768,2,0)</f>
        <v>3898.85</v>
      </c>
      <c r="F1224" s="1">
        <f t="shared" si="78"/>
        <v>-7.6383480195273412E-3</v>
      </c>
      <c r="G1224" s="1" t="str">
        <f t="shared" ca="1" si="79"/>
        <v>=E1224/E1223-1</v>
      </c>
    </row>
    <row r="1225" spans="1:7">
      <c r="A1225" s="14">
        <v>44946</v>
      </c>
      <c r="B1225" s="11">
        <f>VLOOKUP(A1225,[1]HD_price_daily!$A$8:$B$1768,2,0)</f>
        <v>315</v>
      </c>
      <c r="C1225">
        <f t="shared" si="76"/>
        <v>1.3252702007205297E-2</v>
      </c>
      <c r="D1225" s="1" t="str">
        <f t="shared" ca="1" si="77"/>
        <v>=B1225/B1224-1</v>
      </c>
      <c r="E1225" s="8">
        <f>VLOOKUP(A1225,'[1]S&amp;P500_DAILY'!$A$8:$B$1768,2,0)</f>
        <v>3972.61</v>
      </c>
      <c r="F1225" s="1">
        <f t="shared" si="78"/>
        <v>1.8918399015094289E-2</v>
      </c>
      <c r="G1225" s="1" t="str">
        <f t="shared" ca="1" si="79"/>
        <v>=E1225/E1224-1</v>
      </c>
    </row>
    <row r="1226" spans="1:7">
      <c r="A1226" s="14">
        <v>44949</v>
      </c>
      <c r="B1226" s="11">
        <f>VLOOKUP(A1226,[1]HD_price_daily!$A$8:$B$1768,2,0)</f>
        <v>315.48</v>
      </c>
      <c r="C1226">
        <f t="shared" si="76"/>
        <v>1.5238095238094829E-3</v>
      </c>
      <c r="D1226" s="1" t="str">
        <f t="shared" ca="1" si="77"/>
        <v>=B1226/B1225-1</v>
      </c>
      <c r="E1226" s="8">
        <f>VLOOKUP(A1226,'[1]S&amp;P500_DAILY'!$A$8:$B$1768,2,0)</f>
        <v>4019.81</v>
      </c>
      <c r="F1226" s="1">
        <f t="shared" si="78"/>
        <v>1.1881357596139619E-2</v>
      </c>
      <c r="G1226" s="1" t="str">
        <f t="shared" ca="1" si="79"/>
        <v>=E1226/E1225-1</v>
      </c>
    </row>
    <row r="1227" spans="1:7">
      <c r="A1227" s="14">
        <v>44950</v>
      </c>
      <c r="B1227" s="11">
        <f>VLOOKUP(A1227,[1]HD_price_daily!$A$8:$B$1768,2,0)</f>
        <v>317.69</v>
      </c>
      <c r="C1227">
        <f t="shared" si="76"/>
        <v>7.0051984277925694E-3</v>
      </c>
      <c r="D1227" s="1" t="str">
        <f t="shared" ca="1" si="77"/>
        <v>=B1227/B1226-1</v>
      </c>
      <c r="E1227" s="8">
        <f>VLOOKUP(A1227,'[1]S&amp;P500_DAILY'!$A$8:$B$1768,2,0)</f>
        <v>4016.95</v>
      </c>
      <c r="F1227" s="1">
        <f t="shared" si="78"/>
        <v>-7.1147641306434917E-4</v>
      </c>
      <c r="G1227" s="1" t="str">
        <f t="shared" ca="1" si="79"/>
        <v>=E1227/E1226-1</v>
      </c>
    </row>
    <row r="1228" spans="1:7">
      <c r="A1228" s="14">
        <v>44951</v>
      </c>
      <c r="B1228" s="11">
        <f>VLOOKUP(A1228,[1]HD_price_daily!$A$8:$B$1768,2,0)</f>
        <v>317.26</v>
      </c>
      <c r="C1228">
        <f t="shared" si="76"/>
        <v>-1.3535207277535211E-3</v>
      </c>
      <c r="D1228" s="1" t="str">
        <f t="shared" ca="1" si="77"/>
        <v>=B1228/B1227-1</v>
      </c>
      <c r="E1228" s="8">
        <f>VLOOKUP(A1228,'[1]S&amp;P500_DAILY'!$A$8:$B$1768,2,0)</f>
        <v>4016.22</v>
      </c>
      <c r="F1228" s="1">
        <f t="shared" si="78"/>
        <v>-1.8172991946630024E-4</v>
      </c>
      <c r="G1228" s="1" t="str">
        <f t="shared" ca="1" si="79"/>
        <v>=E1228/E1227-1</v>
      </c>
    </row>
    <row r="1229" spans="1:7">
      <c r="A1229" s="14">
        <v>44952</v>
      </c>
      <c r="B1229" s="11">
        <f>VLOOKUP(A1229,[1]HD_price_daily!$A$8:$B$1768,2,0)</f>
        <v>313.81</v>
      </c>
      <c r="C1229">
        <f t="shared" si="76"/>
        <v>-1.087436172224665E-2</v>
      </c>
      <c r="D1229" s="1" t="str">
        <f t="shared" ca="1" si="77"/>
        <v>=B1229/B1228-1</v>
      </c>
      <c r="E1229" s="8">
        <f>VLOOKUP(A1229,'[1]S&amp;P500_DAILY'!$A$8:$B$1768,2,0)</f>
        <v>4060.43</v>
      </c>
      <c r="F1229" s="1">
        <f t="shared" si="78"/>
        <v>1.1007863115068517E-2</v>
      </c>
      <c r="G1229" s="1" t="str">
        <f t="shared" ca="1" si="79"/>
        <v>=E1229/E1228-1</v>
      </c>
    </row>
    <row r="1230" spans="1:7">
      <c r="A1230" s="14">
        <v>44953</v>
      </c>
      <c r="B1230" s="11">
        <f>VLOOKUP(A1230,[1]HD_price_daily!$A$8:$B$1768,2,0)</f>
        <v>316.69</v>
      </c>
      <c r="C1230">
        <f t="shared" si="76"/>
        <v>9.1775278034478269E-3</v>
      </c>
      <c r="D1230" s="1" t="str">
        <f t="shared" ca="1" si="77"/>
        <v>=B1230/B1229-1</v>
      </c>
      <c r="E1230" s="8">
        <f>VLOOKUP(A1230,'[1]S&amp;P500_DAILY'!$A$8:$B$1768,2,0)</f>
        <v>4070.56</v>
      </c>
      <c r="F1230" s="1">
        <f t="shared" si="78"/>
        <v>2.4948096630159622E-3</v>
      </c>
      <c r="G1230" s="1" t="str">
        <f t="shared" ca="1" si="79"/>
        <v>=E1230/E1229-1</v>
      </c>
    </row>
    <row r="1231" spans="1:7">
      <c r="A1231" s="14">
        <v>44956</v>
      </c>
      <c r="B1231" s="11">
        <f>VLOOKUP(A1231,[1]HD_price_daily!$A$8:$B$1768,2,0)</f>
        <v>314.24</v>
      </c>
      <c r="C1231">
        <f t="shared" si="76"/>
        <v>-7.7362720641636074E-3</v>
      </c>
      <c r="D1231" s="1" t="str">
        <f t="shared" ca="1" si="77"/>
        <v>=B1231/B1230-1</v>
      </c>
      <c r="E1231" s="8">
        <f>VLOOKUP(A1231,'[1]S&amp;P500_DAILY'!$A$8:$B$1768,2,0)</f>
        <v>4017.77</v>
      </c>
      <c r="F1231" s="1">
        <f t="shared" si="78"/>
        <v>-1.2968731575016657E-2</v>
      </c>
      <c r="G1231" s="1" t="str">
        <f t="shared" ca="1" si="79"/>
        <v>=E1231/E1230-1</v>
      </c>
    </row>
    <row r="1232" spans="1:7">
      <c r="A1232" s="14">
        <v>44957</v>
      </c>
      <c r="B1232" s="11">
        <f>VLOOKUP(A1232,[1]HD_price_daily!$A$8:$B$1768,2,0)</f>
        <v>324.17</v>
      </c>
      <c r="C1232">
        <f t="shared" si="76"/>
        <v>3.1600050916496869E-2</v>
      </c>
      <c r="D1232" s="1" t="str">
        <f t="shared" ca="1" si="77"/>
        <v>=B1232/B1231-1</v>
      </c>
      <c r="E1232" s="8">
        <f>VLOOKUP(A1232,'[1]S&amp;P500_DAILY'!$A$8:$B$1768,2,0)</f>
        <v>4076.6</v>
      </c>
      <c r="F1232" s="1">
        <f t="shared" si="78"/>
        <v>1.4642450911824145E-2</v>
      </c>
      <c r="G1232" s="1" t="str">
        <f t="shared" ca="1" si="79"/>
        <v>=E1232/E1231-1</v>
      </c>
    </row>
    <row r="1233" spans="1:7">
      <c r="A1233" s="14">
        <v>44958</v>
      </c>
      <c r="B1233" s="11">
        <f>VLOOKUP(A1233,[1]HD_price_daily!$A$8:$B$1768,2,0)</f>
        <v>328.09</v>
      </c>
      <c r="C1233">
        <f t="shared" si="76"/>
        <v>1.2092420643489366E-2</v>
      </c>
      <c r="D1233" s="1" t="str">
        <f t="shared" ca="1" si="77"/>
        <v>=B1233/B1232-1</v>
      </c>
      <c r="E1233" s="8">
        <f>VLOOKUP(A1233,'[1]S&amp;P500_DAILY'!$A$8:$B$1768,2,0)</f>
        <v>4119.21</v>
      </c>
      <c r="F1233" s="1">
        <f t="shared" si="78"/>
        <v>1.0452337732424155E-2</v>
      </c>
      <c r="G1233" s="1" t="str">
        <f t="shared" ca="1" si="79"/>
        <v>=E1233/E1232-1</v>
      </c>
    </row>
    <row r="1234" spans="1:7">
      <c r="A1234" s="14">
        <v>44959</v>
      </c>
      <c r="B1234" s="11">
        <f>VLOOKUP(A1234,[1]HD_price_daily!$A$8:$B$1768,2,0)</f>
        <v>339.79</v>
      </c>
      <c r="C1234">
        <f t="shared" si="76"/>
        <v>3.5660946691456807E-2</v>
      </c>
      <c r="D1234" s="1" t="str">
        <f t="shared" ca="1" si="77"/>
        <v>=B1234/B1233-1</v>
      </c>
      <c r="E1234" s="8">
        <f>VLOOKUP(A1234,'[1]S&amp;P500_DAILY'!$A$8:$B$1768,2,0)</f>
        <v>4179.76</v>
      </c>
      <c r="F1234" s="1">
        <f t="shared" si="78"/>
        <v>1.4699420519954209E-2</v>
      </c>
      <c r="G1234" s="1" t="str">
        <f t="shared" ca="1" si="79"/>
        <v>=E1234/E1233-1</v>
      </c>
    </row>
    <row r="1235" spans="1:7">
      <c r="A1235" s="14">
        <v>44960</v>
      </c>
      <c r="B1235" s="11">
        <f>VLOOKUP(A1235,[1]HD_price_daily!$A$8:$B$1768,2,0)</f>
        <v>331.5</v>
      </c>
      <c r="C1235">
        <f t="shared" si="76"/>
        <v>-2.4397421937078834E-2</v>
      </c>
      <c r="D1235" s="1" t="str">
        <f t="shared" ca="1" si="77"/>
        <v>=B1235/B1234-1</v>
      </c>
      <c r="E1235" s="8">
        <f>VLOOKUP(A1235,'[1]S&amp;P500_DAILY'!$A$8:$B$1768,2,0)</f>
        <v>4136.4799999999996</v>
      </c>
      <c r="F1235" s="1">
        <f t="shared" si="78"/>
        <v>-1.0354661511665864E-2</v>
      </c>
      <c r="G1235" s="1" t="str">
        <f t="shared" ca="1" si="79"/>
        <v>=E1235/E1234-1</v>
      </c>
    </row>
    <row r="1236" spans="1:7">
      <c r="A1236" s="14">
        <v>44963</v>
      </c>
      <c r="B1236" s="11">
        <f>VLOOKUP(A1236,[1]HD_price_daily!$A$8:$B$1768,2,0)</f>
        <v>329.27</v>
      </c>
      <c r="C1236">
        <f t="shared" si="76"/>
        <v>-6.726998491704439E-3</v>
      </c>
      <c r="D1236" s="1" t="str">
        <f t="shared" ca="1" si="77"/>
        <v>=B1236/B1235-1</v>
      </c>
      <c r="E1236" s="8">
        <f>VLOOKUP(A1236,'[1]S&amp;P500_DAILY'!$A$8:$B$1768,2,0)</f>
        <v>4111.08</v>
      </c>
      <c r="F1236" s="1">
        <f t="shared" si="78"/>
        <v>-6.1404865973000433E-3</v>
      </c>
      <c r="G1236" s="1" t="str">
        <f t="shared" ca="1" si="79"/>
        <v>=E1236/E1235-1</v>
      </c>
    </row>
    <row r="1237" spans="1:7">
      <c r="A1237" s="14">
        <v>44964</v>
      </c>
      <c r="B1237" s="11">
        <f>VLOOKUP(A1237,[1]HD_price_daily!$A$8:$B$1768,2,0)</f>
        <v>325.2</v>
      </c>
      <c r="C1237">
        <f t="shared" si="76"/>
        <v>-1.2360676648343283E-2</v>
      </c>
      <c r="D1237" s="1" t="str">
        <f t="shared" ca="1" si="77"/>
        <v>=B1237/B1236-1</v>
      </c>
      <c r="E1237" s="8">
        <f>VLOOKUP(A1237,'[1]S&amp;P500_DAILY'!$A$8:$B$1768,2,0)</f>
        <v>4164</v>
      </c>
      <c r="F1237" s="1">
        <f t="shared" si="78"/>
        <v>1.2872529846171821E-2</v>
      </c>
      <c r="G1237" s="1" t="str">
        <f t="shared" ca="1" si="79"/>
        <v>=E1237/E1236-1</v>
      </c>
    </row>
    <row r="1238" spans="1:7">
      <c r="A1238" s="14">
        <v>44965</v>
      </c>
      <c r="B1238" s="11">
        <f>VLOOKUP(A1238,[1]HD_price_daily!$A$8:$B$1768,2,0)</f>
        <v>320.79000000000002</v>
      </c>
      <c r="C1238">
        <f t="shared" si="76"/>
        <v>-1.3560885608856044E-2</v>
      </c>
      <c r="D1238" s="1" t="str">
        <f t="shared" ca="1" si="77"/>
        <v>=B1238/B1237-1</v>
      </c>
      <c r="E1238" s="8">
        <f>VLOOKUP(A1238,'[1]S&amp;P500_DAILY'!$A$8:$B$1768,2,0)</f>
        <v>4117.8599999999997</v>
      </c>
      <c r="F1238" s="1">
        <f t="shared" si="78"/>
        <v>-1.1080691642651352E-2</v>
      </c>
      <c r="G1238" s="1" t="str">
        <f t="shared" ca="1" si="79"/>
        <v>=E1238/E1237-1</v>
      </c>
    </row>
    <row r="1239" spans="1:7">
      <c r="A1239" s="14">
        <v>44966</v>
      </c>
      <c r="B1239" s="11">
        <f>VLOOKUP(A1239,[1]HD_price_daily!$A$8:$B$1768,2,0)</f>
        <v>315.55</v>
      </c>
      <c r="C1239">
        <f t="shared" si="76"/>
        <v>-1.6334673774120123E-2</v>
      </c>
      <c r="D1239" s="1" t="str">
        <f t="shared" ca="1" si="77"/>
        <v>=B1239/B1238-1</v>
      </c>
      <c r="E1239" s="8">
        <f>VLOOKUP(A1239,'[1]S&amp;P500_DAILY'!$A$8:$B$1768,2,0)</f>
        <v>4081.5</v>
      </c>
      <c r="F1239" s="1">
        <f t="shared" si="78"/>
        <v>-8.8298290859815109E-3</v>
      </c>
      <c r="G1239" s="1" t="str">
        <f t="shared" ca="1" si="79"/>
        <v>=E1239/E1238-1</v>
      </c>
    </row>
    <row r="1240" spans="1:7">
      <c r="A1240" s="14">
        <v>44967</v>
      </c>
      <c r="B1240" s="11">
        <f>VLOOKUP(A1240,[1]HD_price_daily!$A$8:$B$1768,2,0)</f>
        <v>316.54000000000002</v>
      </c>
      <c r="C1240">
        <f t="shared" si="76"/>
        <v>3.1373791792108641E-3</v>
      </c>
      <c r="D1240" s="1" t="str">
        <f t="shared" ca="1" si="77"/>
        <v>=B1240/B1239-1</v>
      </c>
      <c r="E1240" s="8">
        <f>VLOOKUP(A1240,'[1]S&amp;P500_DAILY'!$A$8:$B$1768,2,0)</f>
        <v>4090.46</v>
      </c>
      <c r="F1240" s="1">
        <f t="shared" si="78"/>
        <v>2.1952713463186946E-3</v>
      </c>
      <c r="G1240" s="1" t="str">
        <f t="shared" ca="1" si="79"/>
        <v>=E1240/E1239-1</v>
      </c>
    </row>
    <row r="1241" spans="1:7">
      <c r="A1241" s="14">
        <v>44970</v>
      </c>
      <c r="B1241" s="11">
        <f>VLOOKUP(A1241,[1]HD_price_daily!$A$8:$B$1768,2,0)</f>
        <v>323.52999999999997</v>
      </c>
      <c r="C1241">
        <f t="shared" si="76"/>
        <v>2.2082517217413056E-2</v>
      </c>
      <c r="D1241" s="1" t="str">
        <f t="shared" ca="1" si="77"/>
        <v>=B1241/B1240-1</v>
      </c>
      <c r="E1241" s="8">
        <f>VLOOKUP(A1241,'[1]S&amp;P500_DAILY'!$A$8:$B$1768,2,0)</f>
        <v>4137.29</v>
      </c>
      <c r="F1241" s="1">
        <f t="shared" si="78"/>
        <v>1.1448590134117032E-2</v>
      </c>
      <c r="G1241" s="1" t="str">
        <f t="shared" ca="1" si="79"/>
        <v>=E1241/E1240-1</v>
      </c>
    </row>
    <row r="1242" spans="1:7">
      <c r="A1242" s="14">
        <v>44971</v>
      </c>
      <c r="B1242" s="11">
        <f>VLOOKUP(A1242,[1]HD_price_daily!$A$8:$B$1768,2,0)</f>
        <v>318.43</v>
      </c>
      <c r="C1242">
        <f t="shared" si="76"/>
        <v>-1.5763607702531379E-2</v>
      </c>
      <c r="D1242" s="1" t="str">
        <f t="shared" ca="1" si="77"/>
        <v>=B1242/B1241-1</v>
      </c>
      <c r="E1242" s="8">
        <f>VLOOKUP(A1242,'[1]S&amp;P500_DAILY'!$A$8:$B$1768,2,0)</f>
        <v>4136.13</v>
      </c>
      <c r="F1242" s="1">
        <f t="shared" si="78"/>
        <v>-2.8037676836767389E-4</v>
      </c>
      <c r="G1242" s="1" t="str">
        <f t="shared" ca="1" si="79"/>
        <v>=E1242/E1241-1</v>
      </c>
    </row>
    <row r="1243" spans="1:7">
      <c r="A1243" s="14">
        <v>44972</v>
      </c>
      <c r="B1243" s="11">
        <f>VLOOKUP(A1243,[1]HD_price_daily!$A$8:$B$1768,2,0)</f>
        <v>320.69</v>
      </c>
      <c r="C1243">
        <f t="shared" si="76"/>
        <v>7.0973212322960055E-3</v>
      </c>
      <c r="D1243" s="1" t="str">
        <f t="shared" ca="1" si="77"/>
        <v>=B1243/B1242-1</v>
      </c>
      <c r="E1243" s="8">
        <f>VLOOKUP(A1243,'[1]S&amp;P500_DAILY'!$A$8:$B$1768,2,0)</f>
        <v>4147.6000000000004</v>
      </c>
      <c r="F1243" s="1">
        <f t="shared" si="78"/>
        <v>2.7731236687436045E-3</v>
      </c>
      <c r="G1243" s="1" t="str">
        <f t="shared" ca="1" si="79"/>
        <v>=E1243/E1242-1</v>
      </c>
    </row>
    <row r="1244" spans="1:7">
      <c r="A1244" s="14">
        <v>44973</v>
      </c>
      <c r="B1244" s="11">
        <f>VLOOKUP(A1244,[1]HD_price_daily!$A$8:$B$1768,2,0)</f>
        <v>321.24</v>
      </c>
      <c r="C1244">
        <f t="shared" si="76"/>
        <v>1.7150519192989933E-3</v>
      </c>
      <c r="D1244" s="1" t="str">
        <f t="shared" ca="1" si="77"/>
        <v>=B1244/B1243-1</v>
      </c>
      <c r="E1244" s="8">
        <f>VLOOKUP(A1244,'[1]S&amp;P500_DAILY'!$A$8:$B$1768,2,0)</f>
        <v>4090.41</v>
      </c>
      <c r="F1244" s="1">
        <f t="shared" si="78"/>
        <v>-1.378869707782826E-2</v>
      </c>
      <c r="G1244" s="1" t="str">
        <f t="shared" ca="1" si="79"/>
        <v>=E1244/E1243-1</v>
      </c>
    </row>
    <row r="1245" spans="1:7">
      <c r="A1245" s="14">
        <v>44974</v>
      </c>
      <c r="B1245" s="11">
        <f>VLOOKUP(A1245,[1]HD_price_daily!$A$8:$B$1768,2,0)</f>
        <v>317.95</v>
      </c>
      <c r="C1245">
        <f t="shared" si="76"/>
        <v>-1.0241563939733633E-2</v>
      </c>
      <c r="D1245" s="1" t="str">
        <f t="shared" ca="1" si="77"/>
        <v>=B1245/B1244-1</v>
      </c>
      <c r="E1245" s="8">
        <f>VLOOKUP(A1245,'[1]S&amp;P500_DAILY'!$A$8:$B$1768,2,0)</f>
        <v>4079.09</v>
      </c>
      <c r="F1245" s="1">
        <f t="shared" si="78"/>
        <v>-2.7674487398573477E-3</v>
      </c>
      <c r="G1245" s="1" t="str">
        <f t="shared" ca="1" si="79"/>
        <v>=E1245/E1244-1</v>
      </c>
    </row>
    <row r="1246" spans="1:7">
      <c r="A1246" s="14">
        <v>44978</v>
      </c>
      <c r="B1246" s="11">
        <f>VLOOKUP(A1246,[1]HD_price_daily!$A$8:$B$1768,2,0)</f>
        <v>295.5</v>
      </c>
      <c r="C1246">
        <f t="shared" si="76"/>
        <v>-7.0608586255700545E-2</v>
      </c>
      <c r="D1246" s="1" t="str">
        <f t="shared" ca="1" si="77"/>
        <v>=B1246/B1245-1</v>
      </c>
      <c r="E1246" s="8">
        <f>VLOOKUP(A1246,'[1]S&amp;P500_DAILY'!$A$8:$B$1768,2,0)</f>
        <v>3997.34</v>
      </c>
      <c r="F1246" s="1">
        <f t="shared" si="78"/>
        <v>-2.0041234687148357E-2</v>
      </c>
      <c r="G1246" s="1" t="str">
        <f t="shared" ca="1" si="79"/>
        <v>=E1246/E1245-1</v>
      </c>
    </row>
    <row r="1247" spans="1:7">
      <c r="A1247" s="14">
        <v>44979</v>
      </c>
      <c r="B1247" s="11">
        <f>VLOOKUP(A1247,[1]HD_price_daily!$A$8:$B$1768,2,0)</f>
        <v>296.3</v>
      </c>
      <c r="C1247">
        <f t="shared" si="76"/>
        <v>2.707275803722542E-3</v>
      </c>
      <c r="D1247" s="1" t="str">
        <f t="shared" ca="1" si="77"/>
        <v>=B1247/B1246-1</v>
      </c>
      <c r="E1247" s="8">
        <f>VLOOKUP(A1247,'[1]S&amp;P500_DAILY'!$A$8:$B$1768,2,0)</f>
        <v>3991.05</v>
      </c>
      <c r="F1247" s="1">
        <f t="shared" si="78"/>
        <v>-1.5735464083616035E-3</v>
      </c>
      <c r="G1247" s="1" t="str">
        <f t="shared" ca="1" si="79"/>
        <v>=E1247/E1246-1</v>
      </c>
    </row>
    <row r="1248" spans="1:7">
      <c r="A1248" s="14">
        <v>44980</v>
      </c>
      <c r="B1248" s="11">
        <f>VLOOKUP(A1248,[1]HD_price_daily!$A$8:$B$1768,2,0)</f>
        <v>299.31</v>
      </c>
      <c r="C1248">
        <f t="shared" si="76"/>
        <v>1.0158623017212154E-2</v>
      </c>
      <c r="D1248" s="1" t="str">
        <f t="shared" ca="1" si="77"/>
        <v>=B1248/B1247-1</v>
      </c>
      <c r="E1248" s="8">
        <f>VLOOKUP(A1248,'[1]S&amp;P500_DAILY'!$A$8:$B$1768,2,0)</f>
        <v>4012.32</v>
      </c>
      <c r="F1248" s="1">
        <f t="shared" si="78"/>
        <v>5.3294245875146196E-3</v>
      </c>
      <c r="G1248" s="1" t="str">
        <f t="shared" ca="1" si="79"/>
        <v>=E1248/E1247-1</v>
      </c>
    </row>
    <row r="1249" spans="1:7">
      <c r="A1249" s="14">
        <v>44981</v>
      </c>
      <c r="B1249" s="11">
        <f>VLOOKUP(A1249,[1]HD_price_daily!$A$8:$B$1768,2,0)</f>
        <v>296.66000000000003</v>
      </c>
      <c r="C1249">
        <f t="shared" si="76"/>
        <v>-8.8536968360561907E-3</v>
      </c>
      <c r="D1249" s="1" t="str">
        <f t="shared" ca="1" si="77"/>
        <v>=B1249/B1248-1</v>
      </c>
      <c r="E1249" s="8">
        <f>VLOOKUP(A1249,'[1]S&amp;P500_DAILY'!$A$8:$B$1768,2,0)</f>
        <v>3970.04</v>
      </c>
      <c r="F1249" s="1">
        <f t="shared" si="78"/>
        <v>-1.0537544363360851E-2</v>
      </c>
      <c r="G1249" s="1" t="str">
        <f t="shared" ca="1" si="79"/>
        <v>=E1249/E1248-1</v>
      </c>
    </row>
    <row r="1250" spans="1:7">
      <c r="A1250" s="14">
        <v>44984</v>
      </c>
      <c r="B1250" s="11">
        <f>VLOOKUP(A1250,[1]HD_price_daily!$A$8:$B$1768,2,0)</f>
        <v>296.01</v>
      </c>
      <c r="C1250">
        <f t="shared" si="76"/>
        <v>-2.191060473269224E-3</v>
      </c>
      <c r="D1250" s="1" t="str">
        <f t="shared" ca="1" si="77"/>
        <v>=B1250/B1249-1</v>
      </c>
      <c r="E1250" s="8">
        <f>VLOOKUP(A1250,'[1]S&amp;P500_DAILY'!$A$8:$B$1768,2,0)</f>
        <v>3982.24</v>
      </c>
      <c r="F1250" s="1">
        <f t="shared" si="78"/>
        <v>3.0730168965551474E-3</v>
      </c>
      <c r="G1250" s="1" t="str">
        <f t="shared" ca="1" si="79"/>
        <v>=E1250/E1249-1</v>
      </c>
    </row>
    <row r="1251" spans="1:7">
      <c r="A1251" s="14">
        <v>44985</v>
      </c>
      <c r="B1251" s="11">
        <f>VLOOKUP(A1251,[1]HD_price_daily!$A$8:$B$1768,2,0)</f>
        <v>296.54000000000002</v>
      </c>
      <c r="C1251">
        <f t="shared" si="76"/>
        <v>1.790480051349741E-3</v>
      </c>
      <c r="D1251" s="1" t="str">
        <f t="shared" ca="1" si="77"/>
        <v>=B1251/B1250-1</v>
      </c>
      <c r="E1251" s="8">
        <f>VLOOKUP(A1251,'[1]S&amp;P500_DAILY'!$A$8:$B$1768,2,0)</f>
        <v>3970.15</v>
      </c>
      <c r="F1251" s="1">
        <f t="shared" si="78"/>
        <v>-3.0359797500902896E-3</v>
      </c>
      <c r="G1251" s="1" t="str">
        <f t="shared" ca="1" si="79"/>
        <v>=E1251/E1250-1</v>
      </c>
    </row>
    <row r="1252" spans="1:7">
      <c r="A1252" s="14">
        <v>44986</v>
      </c>
      <c r="B1252" s="11">
        <f>VLOOKUP(A1252,[1]HD_price_daily!$A$8:$B$1768,2,0)</f>
        <v>290.79000000000002</v>
      </c>
      <c r="C1252">
        <f t="shared" si="76"/>
        <v>-1.9390301477035132E-2</v>
      </c>
      <c r="D1252" s="1" t="str">
        <f t="shared" ca="1" si="77"/>
        <v>=B1252/B1251-1</v>
      </c>
      <c r="E1252" s="8">
        <f>VLOOKUP(A1252,'[1]S&amp;P500_DAILY'!$A$8:$B$1768,2,0)</f>
        <v>3951.39</v>
      </c>
      <c r="F1252" s="1">
        <f t="shared" si="78"/>
        <v>-4.7252622696876134E-3</v>
      </c>
      <c r="G1252" s="1" t="str">
        <f t="shared" ca="1" si="79"/>
        <v>=E1252/E1251-1</v>
      </c>
    </row>
    <row r="1253" spans="1:7">
      <c r="A1253" s="14">
        <v>44987</v>
      </c>
      <c r="B1253" s="11">
        <f>VLOOKUP(A1253,[1]HD_price_daily!$A$8:$B$1768,2,0)</f>
        <v>293.02</v>
      </c>
      <c r="C1253">
        <f t="shared" si="76"/>
        <v>7.6687644004262978E-3</v>
      </c>
      <c r="D1253" s="1" t="str">
        <f t="shared" ca="1" si="77"/>
        <v>=B1253/B1252-1</v>
      </c>
      <c r="E1253" s="8">
        <f>VLOOKUP(A1253,'[1]S&amp;P500_DAILY'!$A$8:$B$1768,2,0)</f>
        <v>3981.35</v>
      </c>
      <c r="F1253" s="1">
        <f t="shared" si="78"/>
        <v>7.5821419804169565E-3</v>
      </c>
      <c r="G1253" s="1" t="str">
        <f t="shared" ca="1" si="79"/>
        <v>=E1253/E1252-1</v>
      </c>
    </row>
    <row r="1254" spans="1:7">
      <c r="A1254" s="14">
        <v>44988</v>
      </c>
      <c r="B1254" s="11">
        <f>VLOOKUP(A1254,[1]HD_price_daily!$A$8:$B$1768,2,0)</f>
        <v>298.45</v>
      </c>
      <c r="C1254">
        <f t="shared" si="76"/>
        <v>1.8531158282711013E-2</v>
      </c>
      <c r="D1254" s="1" t="str">
        <f t="shared" ca="1" si="77"/>
        <v>=B1254/B1253-1</v>
      </c>
      <c r="E1254" s="8">
        <f>VLOOKUP(A1254,'[1]S&amp;P500_DAILY'!$A$8:$B$1768,2,0)</f>
        <v>4045.64</v>
      </c>
      <c r="F1254" s="1">
        <f t="shared" si="78"/>
        <v>1.61477890665227E-2</v>
      </c>
      <c r="G1254" s="1" t="str">
        <f t="shared" ca="1" si="79"/>
        <v>=E1254/E1253-1</v>
      </c>
    </row>
    <row r="1255" spans="1:7">
      <c r="A1255" s="14">
        <v>44991</v>
      </c>
      <c r="B1255" s="11">
        <f>VLOOKUP(A1255,[1]HD_price_daily!$A$8:$B$1768,2,0)</f>
        <v>298.20999999999998</v>
      </c>
      <c r="C1255">
        <f t="shared" si="76"/>
        <v>-8.0415479979900617E-4</v>
      </c>
      <c r="D1255" s="1" t="str">
        <f t="shared" ca="1" si="77"/>
        <v>=B1255/B1254-1</v>
      </c>
      <c r="E1255" s="8">
        <f>VLOOKUP(A1255,'[1]S&amp;P500_DAILY'!$A$8:$B$1768,2,0)</f>
        <v>4048.42</v>
      </c>
      <c r="F1255" s="1">
        <f t="shared" si="78"/>
        <v>6.8715950999109765E-4</v>
      </c>
      <c r="G1255" s="1" t="str">
        <f t="shared" ca="1" si="79"/>
        <v>=E1255/E1254-1</v>
      </c>
    </row>
    <row r="1256" spans="1:7">
      <c r="A1256" s="14">
        <v>44992</v>
      </c>
      <c r="B1256" s="11">
        <f>VLOOKUP(A1256,[1]HD_price_daily!$A$8:$B$1768,2,0)</f>
        <v>290.7</v>
      </c>
      <c r="C1256">
        <f t="shared" si="76"/>
        <v>-2.5183595452868746E-2</v>
      </c>
      <c r="D1256" s="1" t="str">
        <f t="shared" ca="1" si="77"/>
        <v>=B1256/B1255-1</v>
      </c>
      <c r="E1256" s="8">
        <f>VLOOKUP(A1256,'[1]S&amp;P500_DAILY'!$A$8:$B$1768,2,0)</f>
        <v>3986.37</v>
      </c>
      <c r="F1256" s="1">
        <f t="shared" si="78"/>
        <v>-1.5326967063694075E-2</v>
      </c>
      <c r="G1256" s="1" t="str">
        <f t="shared" ca="1" si="79"/>
        <v>=E1256/E1255-1</v>
      </c>
    </row>
    <row r="1257" spans="1:7">
      <c r="A1257" s="14">
        <v>44993</v>
      </c>
      <c r="B1257" s="11">
        <f>VLOOKUP(A1257,[1]HD_price_daily!$A$8:$B$1768,2,0)</f>
        <v>291.49</v>
      </c>
      <c r="C1257">
        <f t="shared" si="76"/>
        <v>2.7175782593740205E-3</v>
      </c>
      <c r="D1257" s="1" t="str">
        <f t="shared" ca="1" si="77"/>
        <v>=B1257/B1256-1</v>
      </c>
      <c r="E1257" s="8">
        <f>VLOOKUP(A1257,'[1]S&amp;P500_DAILY'!$A$8:$B$1768,2,0)</f>
        <v>3992.01</v>
      </c>
      <c r="F1257" s="1">
        <f t="shared" si="78"/>
        <v>1.4148210025664021E-3</v>
      </c>
      <c r="G1257" s="1" t="str">
        <f t="shared" ca="1" si="79"/>
        <v>=E1257/E1256-1</v>
      </c>
    </row>
    <row r="1258" spans="1:7">
      <c r="A1258" s="14">
        <v>44994</v>
      </c>
      <c r="B1258" s="11">
        <f>VLOOKUP(A1258,[1]HD_price_daily!$A$8:$B$1768,2,0)</f>
        <v>288</v>
      </c>
      <c r="C1258">
        <f t="shared" si="76"/>
        <v>-1.1972966482555192E-2</v>
      </c>
      <c r="D1258" s="1" t="str">
        <f t="shared" ca="1" si="77"/>
        <v>=B1258/B1257-1</v>
      </c>
      <c r="E1258" s="8">
        <f>VLOOKUP(A1258,'[1]S&amp;P500_DAILY'!$A$8:$B$1768,2,0)</f>
        <v>3918.32</v>
      </c>
      <c r="F1258" s="1">
        <f t="shared" si="78"/>
        <v>-1.8459372596762003E-2</v>
      </c>
      <c r="G1258" s="1" t="str">
        <f t="shared" ca="1" si="79"/>
        <v>=E1258/E1257-1</v>
      </c>
    </row>
    <row r="1259" spans="1:7">
      <c r="A1259" s="14">
        <v>44995</v>
      </c>
      <c r="B1259" s="11">
        <f>VLOOKUP(A1259,[1]HD_price_daily!$A$8:$B$1768,2,0)</f>
        <v>286.31</v>
      </c>
      <c r="C1259">
        <f t="shared" si="76"/>
        <v>-5.8680555555555847E-3</v>
      </c>
      <c r="D1259" s="1" t="str">
        <f t="shared" ca="1" si="77"/>
        <v>=B1259/B1258-1</v>
      </c>
      <c r="E1259" s="8">
        <f>VLOOKUP(A1259,'[1]S&amp;P500_DAILY'!$A$8:$B$1768,2,0)</f>
        <v>3861.59</v>
      </c>
      <c r="F1259" s="1">
        <f t="shared" si="78"/>
        <v>-1.4478143694236278E-2</v>
      </c>
      <c r="G1259" s="1" t="str">
        <f t="shared" ca="1" si="79"/>
        <v>=E1259/E1258-1</v>
      </c>
    </row>
    <row r="1260" spans="1:7">
      <c r="A1260" s="14">
        <v>44998</v>
      </c>
      <c r="B1260" s="11">
        <f>VLOOKUP(A1260,[1]HD_price_daily!$A$8:$B$1768,2,0)</f>
        <v>286.52</v>
      </c>
      <c r="C1260">
        <f t="shared" si="76"/>
        <v>7.3347071356222315E-4</v>
      </c>
      <c r="D1260" s="1" t="str">
        <f t="shared" ca="1" si="77"/>
        <v>=B1260/B1259-1</v>
      </c>
      <c r="E1260" s="8">
        <f>VLOOKUP(A1260,'[1]S&amp;P500_DAILY'!$A$8:$B$1768,2,0)</f>
        <v>3855.76</v>
      </c>
      <c r="F1260" s="1">
        <f t="shared" si="78"/>
        <v>-1.5097408062482165E-3</v>
      </c>
      <c r="G1260" s="1" t="str">
        <f t="shared" ca="1" si="79"/>
        <v>=E1260/E1259-1</v>
      </c>
    </row>
    <row r="1261" spans="1:7">
      <c r="A1261" s="14">
        <v>44999</v>
      </c>
      <c r="B1261" s="11">
        <f>VLOOKUP(A1261,[1]HD_price_daily!$A$8:$B$1768,2,0)</f>
        <v>285.57</v>
      </c>
      <c r="C1261">
        <f t="shared" si="76"/>
        <v>-3.315649867373982E-3</v>
      </c>
      <c r="D1261" s="1" t="str">
        <f t="shared" ca="1" si="77"/>
        <v>=B1261/B1260-1</v>
      </c>
      <c r="E1261" s="8">
        <f>VLOOKUP(A1261,'[1]S&amp;P500_DAILY'!$A$8:$B$1768,2,0)</f>
        <v>3919.29</v>
      </c>
      <c r="F1261" s="1">
        <f t="shared" si="78"/>
        <v>1.6476647924144494E-2</v>
      </c>
      <c r="G1261" s="1" t="str">
        <f t="shared" ca="1" si="79"/>
        <v>=E1261/E1260-1</v>
      </c>
    </row>
    <row r="1262" spans="1:7">
      <c r="A1262" s="14">
        <v>45000</v>
      </c>
      <c r="B1262" s="11">
        <f>VLOOKUP(A1262,[1]HD_price_daily!$A$8:$B$1768,2,0)</f>
        <v>287.97000000000003</v>
      </c>
      <c r="C1262">
        <f t="shared" si="76"/>
        <v>8.4042441432925497E-3</v>
      </c>
      <c r="D1262" s="1" t="str">
        <f t="shared" ca="1" si="77"/>
        <v>=B1262/B1261-1</v>
      </c>
      <c r="E1262" s="8">
        <f>VLOOKUP(A1262,'[1]S&amp;P500_DAILY'!$A$8:$B$1768,2,0)</f>
        <v>3891.93</v>
      </c>
      <c r="F1262" s="1">
        <f t="shared" si="78"/>
        <v>-6.9808562265104568E-3</v>
      </c>
      <c r="G1262" s="1" t="str">
        <f t="shared" ca="1" si="79"/>
        <v>=E1262/E1261-1</v>
      </c>
    </row>
    <row r="1263" spans="1:7">
      <c r="A1263" s="14">
        <v>45001</v>
      </c>
      <c r="B1263" s="11">
        <f>VLOOKUP(A1263,[1]HD_price_daily!$A$8:$B$1768,2,0)</f>
        <v>286.73</v>
      </c>
      <c r="C1263">
        <f t="shared" si="76"/>
        <v>-4.3060040976491409E-3</v>
      </c>
      <c r="D1263" s="1" t="str">
        <f t="shared" ca="1" si="77"/>
        <v>=B1263/B1262-1</v>
      </c>
      <c r="E1263" s="8">
        <f>VLOOKUP(A1263,'[1]S&amp;P500_DAILY'!$A$8:$B$1768,2,0)</f>
        <v>3960.28</v>
      </c>
      <c r="F1263" s="1">
        <f t="shared" si="78"/>
        <v>1.7561980816715783E-2</v>
      </c>
      <c r="G1263" s="1" t="str">
        <f t="shared" ca="1" si="79"/>
        <v>=E1263/E1262-1</v>
      </c>
    </row>
    <row r="1264" spans="1:7">
      <c r="A1264" s="14">
        <v>45002</v>
      </c>
      <c r="B1264" s="11">
        <f>VLOOKUP(A1264,[1]HD_price_daily!$A$8:$B$1768,2,0)</f>
        <v>288.39</v>
      </c>
      <c r="C1264">
        <f t="shared" si="76"/>
        <v>5.7894186168170325E-3</v>
      </c>
      <c r="D1264" s="1" t="str">
        <f t="shared" ca="1" si="77"/>
        <v>=B1264/B1263-1</v>
      </c>
      <c r="E1264" s="8">
        <f>VLOOKUP(A1264,'[1]S&amp;P500_DAILY'!$A$8:$B$1768,2,0)</f>
        <v>3916.64</v>
      </c>
      <c r="F1264" s="1">
        <f t="shared" si="78"/>
        <v>-1.101942286909019E-2</v>
      </c>
      <c r="G1264" s="1" t="str">
        <f t="shared" ca="1" si="79"/>
        <v>=E1264/E1263-1</v>
      </c>
    </row>
    <row r="1265" spans="1:7">
      <c r="A1265" s="14">
        <v>45005</v>
      </c>
      <c r="B1265" s="11">
        <f>VLOOKUP(A1265,[1]HD_price_daily!$A$8:$B$1768,2,0)</f>
        <v>289.26</v>
      </c>
      <c r="C1265">
        <f t="shared" si="76"/>
        <v>3.016748153542137E-3</v>
      </c>
      <c r="D1265" s="1" t="str">
        <f t="shared" ca="1" si="77"/>
        <v>=B1265/B1264-1</v>
      </c>
      <c r="E1265" s="8">
        <f>VLOOKUP(A1265,'[1]S&amp;P500_DAILY'!$A$8:$B$1768,2,0)</f>
        <v>3951.57</v>
      </c>
      <c r="F1265" s="1">
        <f t="shared" si="78"/>
        <v>8.9183585930798781E-3</v>
      </c>
      <c r="G1265" s="1" t="str">
        <f t="shared" ca="1" si="79"/>
        <v>=E1265/E1264-1</v>
      </c>
    </row>
    <row r="1266" spans="1:7">
      <c r="A1266" s="14">
        <v>45006</v>
      </c>
      <c r="B1266" s="11">
        <f>VLOOKUP(A1266,[1]HD_price_daily!$A$8:$B$1768,2,0)</f>
        <v>289.43</v>
      </c>
      <c r="C1266">
        <f t="shared" si="76"/>
        <v>5.8770656157092205E-4</v>
      </c>
      <c r="D1266" s="1" t="str">
        <f t="shared" ca="1" si="77"/>
        <v>=B1266/B1265-1</v>
      </c>
      <c r="E1266" s="8">
        <f>VLOOKUP(A1266,'[1]S&amp;P500_DAILY'!$A$8:$B$1768,2,0)</f>
        <v>4002.87</v>
      </c>
      <c r="F1266" s="1">
        <f t="shared" si="78"/>
        <v>1.2982181765728518E-2</v>
      </c>
      <c r="G1266" s="1" t="str">
        <f t="shared" ca="1" si="79"/>
        <v>=E1266/E1265-1</v>
      </c>
    </row>
    <row r="1267" spans="1:7">
      <c r="A1267" s="14">
        <v>45007</v>
      </c>
      <c r="B1267" s="11">
        <f>VLOOKUP(A1267,[1]HD_price_daily!$A$8:$B$1768,2,0)</f>
        <v>282.61</v>
      </c>
      <c r="C1267">
        <f t="shared" si="76"/>
        <v>-2.3563555954807747E-2</v>
      </c>
      <c r="D1267" s="1" t="str">
        <f t="shared" ca="1" si="77"/>
        <v>=B1267/B1266-1</v>
      </c>
      <c r="E1267" s="8">
        <f>VLOOKUP(A1267,'[1]S&amp;P500_DAILY'!$A$8:$B$1768,2,0)</f>
        <v>3936.97</v>
      </c>
      <c r="F1267" s="1">
        <f t="shared" si="78"/>
        <v>-1.646318766285193E-2</v>
      </c>
      <c r="G1267" s="1" t="str">
        <f t="shared" ca="1" si="79"/>
        <v>=E1267/E1266-1</v>
      </c>
    </row>
    <row r="1268" spans="1:7">
      <c r="A1268" s="14">
        <v>45008</v>
      </c>
      <c r="B1268" s="11">
        <f>VLOOKUP(A1268,[1]HD_price_daily!$A$8:$B$1768,2,0)</f>
        <v>283.91000000000003</v>
      </c>
      <c r="C1268">
        <f t="shared" si="76"/>
        <v>4.5999787693287164E-3</v>
      </c>
      <c r="D1268" s="1" t="str">
        <f t="shared" ca="1" si="77"/>
        <v>=B1268/B1267-1</v>
      </c>
      <c r="E1268" s="8">
        <f>VLOOKUP(A1268,'[1]S&amp;P500_DAILY'!$A$8:$B$1768,2,0)</f>
        <v>3948.72</v>
      </c>
      <c r="F1268" s="1">
        <f t="shared" si="78"/>
        <v>2.9845287111662788E-3</v>
      </c>
      <c r="G1268" s="1" t="str">
        <f t="shared" ca="1" si="79"/>
        <v>=E1268/E1267-1</v>
      </c>
    </row>
    <row r="1269" spans="1:7">
      <c r="A1269" s="14">
        <v>45009</v>
      </c>
      <c r="B1269" s="11">
        <f>VLOOKUP(A1269,[1]HD_price_daily!$A$8:$B$1768,2,0)</f>
        <v>283.02</v>
      </c>
      <c r="C1269">
        <f t="shared" si="76"/>
        <v>-3.1347962382446415E-3</v>
      </c>
      <c r="D1269" s="1" t="str">
        <f t="shared" ca="1" si="77"/>
        <v>=B1269/B1268-1</v>
      </c>
      <c r="E1269" s="8">
        <f>VLOOKUP(A1269,'[1]S&amp;P500_DAILY'!$A$8:$B$1768,2,0)</f>
        <v>3970.99</v>
      </c>
      <c r="F1269" s="1">
        <f t="shared" si="78"/>
        <v>5.6398022650376856E-3</v>
      </c>
      <c r="G1269" s="1" t="str">
        <f t="shared" ca="1" si="79"/>
        <v>=E1269/E1268-1</v>
      </c>
    </row>
    <row r="1270" spans="1:7">
      <c r="A1270" s="14">
        <v>45012</v>
      </c>
      <c r="B1270" s="11">
        <f>VLOOKUP(A1270,[1]HD_price_daily!$A$8:$B$1768,2,0)</f>
        <v>281.27</v>
      </c>
      <c r="C1270">
        <f t="shared" si="76"/>
        <v>-6.183308600098969E-3</v>
      </c>
      <c r="D1270" s="1" t="str">
        <f t="shared" ca="1" si="77"/>
        <v>=B1270/B1269-1</v>
      </c>
      <c r="E1270" s="8">
        <f>VLOOKUP(A1270,'[1]S&amp;P500_DAILY'!$A$8:$B$1768,2,0)</f>
        <v>3977.53</v>
      </c>
      <c r="F1270" s="1">
        <f t="shared" si="78"/>
        <v>1.6469444647304599E-3</v>
      </c>
      <c r="G1270" s="1" t="str">
        <f t="shared" ca="1" si="79"/>
        <v>=E1270/E1269-1</v>
      </c>
    </row>
    <row r="1271" spans="1:7">
      <c r="A1271" s="14">
        <v>45013</v>
      </c>
      <c r="B1271" s="11">
        <f>VLOOKUP(A1271,[1]HD_price_daily!$A$8:$B$1768,2,0)</f>
        <v>280.82</v>
      </c>
      <c r="C1271">
        <f t="shared" si="76"/>
        <v>-1.5998862303124861E-3</v>
      </c>
      <c r="D1271" s="1" t="str">
        <f t="shared" ca="1" si="77"/>
        <v>=B1271/B1270-1</v>
      </c>
      <c r="E1271" s="8">
        <f>VLOOKUP(A1271,'[1]S&amp;P500_DAILY'!$A$8:$B$1768,2,0)</f>
        <v>3971.27</v>
      </c>
      <c r="F1271" s="1">
        <f t="shared" si="78"/>
        <v>-1.5738410521103363E-3</v>
      </c>
      <c r="G1271" s="1" t="str">
        <f t="shared" ca="1" si="79"/>
        <v>=E1271/E1270-1</v>
      </c>
    </row>
    <row r="1272" spans="1:7">
      <c r="A1272" s="14">
        <v>45014</v>
      </c>
      <c r="B1272" s="11">
        <f>VLOOKUP(A1272,[1]HD_price_daily!$A$8:$B$1768,2,0)</f>
        <v>283.36</v>
      </c>
      <c r="C1272">
        <f t="shared" si="76"/>
        <v>9.0449398191012609E-3</v>
      </c>
      <c r="D1272" s="1" t="str">
        <f t="shared" ca="1" si="77"/>
        <v>=B1272/B1271-1</v>
      </c>
      <c r="E1272" s="8">
        <f>VLOOKUP(A1272,'[1]S&amp;P500_DAILY'!$A$8:$B$1768,2,0)</f>
        <v>4027.81</v>
      </c>
      <c r="F1272" s="1">
        <f t="shared" si="78"/>
        <v>1.4237259113583312E-2</v>
      </c>
      <c r="G1272" s="1" t="str">
        <f t="shared" ca="1" si="79"/>
        <v>=E1272/E1271-1</v>
      </c>
    </row>
    <row r="1273" spans="1:7">
      <c r="A1273" s="14">
        <v>45015</v>
      </c>
      <c r="B1273" s="11">
        <f>VLOOKUP(A1273,[1]HD_price_daily!$A$8:$B$1768,2,0)</f>
        <v>285.36</v>
      </c>
      <c r="C1273">
        <f t="shared" si="76"/>
        <v>7.0581592320722031E-3</v>
      </c>
      <c r="D1273" s="1" t="str">
        <f t="shared" ca="1" si="77"/>
        <v>=B1273/B1272-1</v>
      </c>
      <c r="E1273" s="8">
        <f>VLOOKUP(A1273,'[1]S&amp;P500_DAILY'!$A$8:$B$1768,2,0)</f>
        <v>4050.83</v>
      </c>
      <c r="F1273" s="1">
        <f t="shared" si="78"/>
        <v>5.7152646227105475E-3</v>
      </c>
      <c r="G1273" s="1" t="str">
        <f t="shared" ca="1" si="79"/>
        <v>=E1273/E1272-1</v>
      </c>
    </row>
    <row r="1274" spans="1:7">
      <c r="A1274" s="14">
        <v>45016</v>
      </c>
      <c r="B1274" s="11">
        <f>VLOOKUP(A1274,[1]HD_price_daily!$A$8:$B$1768,2,0)</f>
        <v>295.12</v>
      </c>
      <c r="C1274">
        <f t="shared" si="76"/>
        <v>3.4202410989627063E-2</v>
      </c>
      <c r="D1274" s="1" t="str">
        <f t="shared" ca="1" si="77"/>
        <v>=B1274/B1273-1</v>
      </c>
      <c r="E1274" s="8">
        <f>VLOOKUP(A1274,'[1]S&amp;P500_DAILY'!$A$8:$B$1768,2,0)</f>
        <v>4109.3100000000004</v>
      </c>
      <c r="F1274" s="1">
        <f t="shared" si="78"/>
        <v>1.4436547571732294E-2</v>
      </c>
      <c r="G1274" s="1" t="str">
        <f t="shared" ca="1" si="79"/>
        <v>=E1274/E1273-1</v>
      </c>
    </row>
    <row r="1275" spans="1:7">
      <c r="A1275" s="14">
        <v>45019</v>
      </c>
      <c r="B1275" s="11">
        <f>VLOOKUP(A1275,[1]HD_price_daily!$A$8:$B$1768,2,0)</f>
        <v>297.73</v>
      </c>
      <c r="C1275">
        <f t="shared" si="76"/>
        <v>8.8438601246951798E-3</v>
      </c>
      <c r="D1275" s="1" t="str">
        <f t="shared" ca="1" si="77"/>
        <v>=B1275/B1274-1</v>
      </c>
      <c r="E1275" s="8">
        <f>VLOOKUP(A1275,'[1]S&amp;P500_DAILY'!$A$8:$B$1768,2,0)</f>
        <v>4124.51</v>
      </c>
      <c r="F1275" s="1">
        <f t="shared" si="78"/>
        <v>3.6989178231867648E-3</v>
      </c>
      <c r="G1275" s="1" t="str">
        <f t="shared" ca="1" si="79"/>
        <v>=E1275/E1274-1</v>
      </c>
    </row>
    <row r="1276" spans="1:7">
      <c r="A1276" s="14">
        <v>45020</v>
      </c>
      <c r="B1276" s="11">
        <f>VLOOKUP(A1276,[1]HD_price_daily!$A$8:$B$1768,2,0)</f>
        <v>294.95999999999998</v>
      </c>
      <c r="C1276">
        <f t="shared" si="76"/>
        <v>-9.3037315688712097E-3</v>
      </c>
      <c r="D1276" s="1" t="str">
        <f t="shared" ca="1" si="77"/>
        <v>=B1276/B1275-1</v>
      </c>
      <c r="E1276" s="8">
        <f>VLOOKUP(A1276,'[1]S&amp;P500_DAILY'!$A$8:$B$1768,2,0)</f>
        <v>4100.6000000000004</v>
      </c>
      <c r="F1276" s="1">
        <f t="shared" si="78"/>
        <v>-5.7970522559043225E-3</v>
      </c>
      <c r="G1276" s="1" t="str">
        <f t="shared" ca="1" si="79"/>
        <v>=E1276/E1275-1</v>
      </c>
    </row>
    <row r="1277" spans="1:7">
      <c r="A1277" s="14">
        <v>45021</v>
      </c>
      <c r="B1277" s="11">
        <f>VLOOKUP(A1277,[1]HD_price_daily!$A$8:$B$1768,2,0)</f>
        <v>288.67</v>
      </c>
      <c r="C1277">
        <f t="shared" si="76"/>
        <v>-2.1324925413615303E-2</v>
      </c>
      <c r="D1277" s="1" t="str">
        <f t="shared" ca="1" si="77"/>
        <v>=B1277/B1276-1</v>
      </c>
      <c r="E1277" s="8">
        <f>VLOOKUP(A1277,'[1]S&amp;P500_DAILY'!$A$8:$B$1768,2,0)</f>
        <v>4090.38</v>
      </c>
      <c r="F1277" s="1">
        <f t="shared" si="78"/>
        <v>-2.4923181973370845E-3</v>
      </c>
      <c r="G1277" s="1" t="str">
        <f t="shared" ca="1" si="79"/>
        <v>=E1277/E1276-1</v>
      </c>
    </row>
    <row r="1278" spans="1:7">
      <c r="A1278" s="14">
        <v>45022</v>
      </c>
      <c r="B1278" s="11">
        <f>VLOOKUP(A1278,[1]HD_price_daily!$A$8:$B$1768,2,0)</f>
        <v>288.61</v>
      </c>
      <c r="C1278">
        <f t="shared" si="76"/>
        <v>-2.0784979388233094E-4</v>
      </c>
      <c r="D1278" s="1" t="str">
        <f t="shared" ca="1" si="77"/>
        <v>=B1278/B1277-1</v>
      </c>
      <c r="E1278" s="8">
        <f>VLOOKUP(A1278,'[1]S&amp;P500_DAILY'!$A$8:$B$1768,2,0)</f>
        <v>4105.0200000000004</v>
      </c>
      <c r="F1278" s="1">
        <f t="shared" si="78"/>
        <v>3.5791295674241219E-3</v>
      </c>
      <c r="G1278" s="1" t="str">
        <f t="shared" ca="1" si="79"/>
        <v>=E1278/E1277-1</v>
      </c>
    </row>
    <row r="1279" spans="1:7">
      <c r="A1279" s="14">
        <v>45026</v>
      </c>
      <c r="B1279" s="11">
        <f>VLOOKUP(A1279,[1]HD_price_daily!$A$8:$B$1768,2,0)</f>
        <v>291.17</v>
      </c>
      <c r="C1279">
        <f t="shared" si="76"/>
        <v>8.8701015210839174E-3</v>
      </c>
      <c r="D1279" s="1" t="str">
        <f t="shared" ca="1" si="77"/>
        <v>=B1279/B1278-1</v>
      </c>
      <c r="E1279" s="8">
        <f>VLOOKUP(A1279,'[1]S&amp;P500_DAILY'!$A$8:$B$1768,2,0)</f>
        <v>4109.1099999999997</v>
      </c>
      <c r="F1279" s="1">
        <f t="shared" si="78"/>
        <v>9.9634106532953126E-4</v>
      </c>
      <c r="G1279" s="1" t="str">
        <f t="shared" ca="1" si="79"/>
        <v>=E1279/E1278-1</v>
      </c>
    </row>
    <row r="1280" spans="1:7">
      <c r="A1280" s="14">
        <v>45027</v>
      </c>
      <c r="B1280" s="11">
        <f>VLOOKUP(A1280,[1]HD_price_daily!$A$8:$B$1768,2,0)</f>
        <v>293.77</v>
      </c>
      <c r="C1280">
        <f t="shared" si="76"/>
        <v>8.9294913624342609E-3</v>
      </c>
      <c r="D1280" s="1" t="str">
        <f t="shared" ca="1" si="77"/>
        <v>=B1280/B1279-1</v>
      </c>
      <c r="E1280" s="8">
        <f>VLOOKUP(A1280,'[1]S&amp;P500_DAILY'!$A$8:$B$1768,2,0)</f>
        <v>4108.9399999999996</v>
      </c>
      <c r="F1280" s="1">
        <f t="shared" si="78"/>
        <v>-4.1371489203245737E-5</v>
      </c>
      <c r="G1280" s="1" t="str">
        <f t="shared" ca="1" si="79"/>
        <v>=E1280/E1279-1</v>
      </c>
    </row>
    <row r="1281" spans="1:7">
      <c r="A1281" s="14">
        <v>45028</v>
      </c>
      <c r="B1281" s="11">
        <f>VLOOKUP(A1281,[1]HD_price_daily!$A$8:$B$1768,2,0)</f>
        <v>290.44</v>
      </c>
      <c r="C1281">
        <f t="shared" si="76"/>
        <v>-1.1335398440957212E-2</v>
      </c>
      <c r="D1281" s="1" t="str">
        <f t="shared" ca="1" si="77"/>
        <v>=B1281/B1280-1</v>
      </c>
      <c r="E1281" s="8">
        <f>VLOOKUP(A1281,'[1]S&amp;P500_DAILY'!$A$8:$B$1768,2,0)</f>
        <v>4091.95</v>
      </c>
      <c r="F1281" s="1">
        <f t="shared" si="78"/>
        <v>-4.1348863697205918E-3</v>
      </c>
      <c r="G1281" s="1" t="str">
        <f t="shared" ca="1" si="79"/>
        <v>=E1281/E1280-1</v>
      </c>
    </row>
    <row r="1282" spans="1:7">
      <c r="A1282" s="14">
        <v>45029</v>
      </c>
      <c r="B1282" s="11">
        <f>VLOOKUP(A1282,[1]HD_price_daily!$A$8:$B$1768,2,0)</f>
        <v>292.14999999999998</v>
      </c>
      <c r="C1282">
        <f t="shared" si="76"/>
        <v>5.8876187852912043E-3</v>
      </c>
      <c r="D1282" s="1" t="str">
        <f t="shared" ca="1" si="77"/>
        <v>=B1282/B1281-1</v>
      </c>
      <c r="E1282" s="8">
        <f>VLOOKUP(A1282,'[1]S&amp;P500_DAILY'!$A$8:$B$1768,2,0)</f>
        <v>4146.22</v>
      </c>
      <c r="F1282" s="1">
        <f t="shared" si="78"/>
        <v>1.3262625398648753E-2</v>
      </c>
      <c r="G1282" s="1" t="str">
        <f t="shared" ca="1" si="79"/>
        <v>=E1282/E1281-1</v>
      </c>
    </row>
    <row r="1283" spans="1:7">
      <c r="A1283" s="14">
        <v>45030</v>
      </c>
      <c r="B1283" s="11">
        <f>VLOOKUP(A1283,[1]HD_price_daily!$A$8:$B$1768,2,0)</f>
        <v>292.19</v>
      </c>
      <c r="C1283">
        <f t="shared" si="76"/>
        <v>1.369159678248355E-4</v>
      </c>
      <c r="D1283" s="1" t="str">
        <f t="shared" ca="1" si="77"/>
        <v>=B1283/B1282-1</v>
      </c>
      <c r="E1283" s="8">
        <f>VLOOKUP(A1283,'[1]S&amp;P500_DAILY'!$A$8:$B$1768,2,0)</f>
        <v>4137.6400000000003</v>
      </c>
      <c r="F1283" s="1">
        <f t="shared" si="78"/>
        <v>-2.0693547375681964E-3</v>
      </c>
      <c r="G1283" s="1" t="str">
        <f t="shared" ca="1" si="79"/>
        <v>=E1283/E1282-1</v>
      </c>
    </row>
    <row r="1284" spans="1:7">
      <c r="A1284" s="14">
        <v>45033</v>
      </c>
      <c r="B1284" s="11">
        <f>VLOOKUP(A1284,[1]HD_price_daily!$A$8:$B$1768,2,0)</f>
        <v>295.39999999999998</v>
      </c>
      <c r="C1284">
        <f t="shared" ref="C1284:C1347" si="80">B1284/B1283-1</f>
        <v>1.0986002258804195E-2</v>
      </c>
      <c r="D1284" s="1" t="str">
        <f t="shared" ref="D1284:D1347" ca="1" si="81">_xlfn.FORMULATEXT(C1284)</f>
        <v>=B1284/B1283-1</v>
      </c>
      <c r="E1284" s="8">
        <f>VLOOKUP(A1284,'[1]S&amp;P500_DAILY'!$A$8:$B$1768,2,0)</f>
        <v>4151.32</v>
      </c>
      <c r="F1284" s="1">
        <f t="shared" ref="F1284:F1347" si="82">E1284/E1283-1</f>
        <v>3.3062325383550473E-3</v>
      </c>
      <c r="G1284" s="1" t="str">
        <f t="shared" ref="G1284:G1347" ca="1" si="83">_xlfn.FORMULATEXT(F1284)</f>
        <v>=E1284/E1283-1</v>
      </c>
    </row>
    <row r="1285" spans="1:7">
      <c r="A1285" s="14">
        <v>45034</v>
      </c>
      <c r="B1285" s="11">
        <f>VLOOKUP(A1285,[1]HD_price_daily!$A$8:$B$1768,2,0)</f>
        <v>298.95</v>
      </c>
      <c r="C1285">
        <f t="shared" si="80"/>
        <v>1.2017603249830699E-2</v>
      </c>
      <c r="D1285" s="1" t="str">
        <f t="shared" ca="1" si="81"/>
        <v>=B1285/B1284-1</v>
      </c>
      <c r="E1285" s="8">
        <f>VLOOKUP(A1285,'[1]S&amp;P500_DAILY'!$A$8:$B$1768,2,0)</f>
        <v>4154.87</v>
      </c>
      <c r="F1285" s="1">
        <f t="shared" si="82"/>
        <v>8.5514968732836039E-4</v>
      </c>
      <c r="G1285" s="1" t="str">
        <f t="shared" ca="1" si="83"/>
        <v>=E1285/E1284-1</v>
      </c>
    </row>
    <row r="1286" spans="1:7">
      <c r="A1286" s="14">
        <v>45035</v>
      </c>
      <c r="B1286" s="11">
        <f>VLOOKUP(A1286,[1]HD_price_daily!$A$8:$B$1768,2,0)</f>
        <v>296.91000000000003</v>
      </c>
      <c r="C1286">
        <f t="shared" si="80"/>
        <v>-6.8238835925739094E-3</v>
      </c>
      <c r="D1286" s="1" t="str">
        <f t="shared" ca="1" si="81"/>
        <v>=B1286/B1285-1</v>
      </c>
      <c r="E1286" s="8">
        <f>VLOOKUP(A1286,'[1]S&amp;P500_DAILY'!$A$8:$B$1768,2,0)</f>
        <v>4154.5200000000004</v>
      </c>
      <c r="F1286" s="1">
        <f t="shared" si="82"/>
        <v>-8.4238496029787058E-5</v>
      </c>
      <c r="G1286" s="1" t="str">
        <f t="shared" ca="1" si="83"/>
        <v>=E1286/E1285-1</v>
      </c>
    </row>
    <row r="1287" spans="1:7">
      <c r="A1287" s="14">
        <v>45036</v>
      </c>
      <c r="B1287" s="11">
        <f>VLOOKUP(A1287,[1]HD_price_daily!$A$8:$B$1768,2,0)</f>
        <v>298.57</v>
      </c>
      <c r="C1287">
        <f t="shared" si="80"/>
        <v>5.5909198073489375E-3</v>
      </c>
      <c r="D1287" s="1" t="str">
        <f t="shared" ca="1" si="81"/>
        <v>=B1287/B1286-1</v>
      </c>
      <c r="E1287" s="8">
        <f>VLOOKUP(A1287,'[1]S&amp;P500_DAILY'!$A$8:$B$1768,2,0)</f>
        <v>4129.79</v>
      </c>
      <c r="F1287" s="1">
        <f t="shared" si="82"/>
        <v>-5.952552882162232E-3</v>
      </c>
      <c r="G1287" s="1" t="str">
        <f t="shared" ca="1" si="83"/>
        <v>=E1287/E1286-1</v>
      </c>
    </row>
    <row r="1288" spans="1:7">
      <c r="A1288" s="14">
        <v>45037</v>
      </c>
      <c r="B1288" s="11">
        <f>VLOOKUP(A1288,[1]HD_price_daily!$A$8:$B$1768,2,0)</f>
        <v>300.04000000000002</v>
      </c>
      <c r="C1288">
        <f t="shared" si="80"/>
        <v>4.9234685333423567E-3</v>
      </c>
      <c r="D1288" s="1" t="str">
        <f t="shared" ca="1" si="81"/>
        <v>=B1288/B1287-1</v>
      </c>
      <c r="E1288" s="8">
        <f>VLOOKUP(A1288,'[1]S&amp;P500_DAILY'!$A$8:$B$1768,2,0)</f>
        <v>4133.5200000000004</v>
      </c>
      <c r="F1288" s="1">
        <f t="shared" si="82"/>
        <v>9.0319362485757893E-4</v>
      </c>
      <c r="G1288" s="1" t="str">
        <f t="shared" ca="1" si="83"/>
        <v>=E1288/E1287-1</v>
      </c>
    </row>
    <row r="1289" spans="1:7">
      <c r="A1289" s="14">
        <v>45040</v>
      </c>
      <c r="B1289" s="11">
        <f>VLOOKUP(A1289,[1]HD_price_daily!$A$8:$B$1768,2,0)</f>
        <v>301.64</v>
      </c>
      <c r="C1289">
        <f t="shared" si="80"/>
        <v>5.3326223170242493E-3</v>
      </c>
      <c r="D1289" s="1" t="str">
        <f t="shared" ca="1" si="81"/>
        <v>=B1289/B1288-1</v>
      </c>
      <c r="E1289" s="8">
        <f>VLOOKUP(A1289,'[1]S&amp;P500_DAILY'!$A$8:$B$1768,2,0)</f>
        <v>4137.04</v>
      </c>
      <c r="F1289" s="1">
        <f t="shared" si="82"/>
        <v>8.5157444502503843E-4</v>
      </c>
      <c r="G1289" s="1" t="str">
        <f t="shared" ca="1" si="83"/>
        <v>=E1289/E1288-1</v>
      </c>
    </row>
    <row r="1290" spans="1:7">
      <c r="A1290" s="14">
        <v>45041</v>
      </c>
      <c r="B1290" s="11">
        <f>VLOOKUP(A1290,[1]HD_price_daily!$A$8:$B$1768,2,0)</f>
        <v>296.33</v>
      </c>
      <c r="C1290">
        <f t="shared" si="80"/>
        <v>-1.7603766078769456E-2</v>
      </c>
      <c r="D1290" s="1" t="str">
        <f t="shared" ca="1" si="81"/>
        <v>=B1290/B1289-1</v>
      </c>
      <c r="E1290" s="8">
        <f>VLOOKUP(A1290,'[1]S&amp;P500_DAILY'!$A$8:$B$1768,2,0)</f>
        <v>4071.63</v>
      </c>
      <c r="F1290" s="1">
        <f t="shared" si="82"/>
        <v>-1.5810821263512076E-2</v>
      </c>
      <c r="G1290" s="1" t="str">
        <f t="shared" ca="1" si="83"/>
        <v>=E1290/E1289-1</v>
      </c>
    </row>
    <row r="1291" spans="1:7">
      <c r="A1291" s="14">
        <v>45042</v>
      </c>
      <c r="B1291" s="11">
        <f>VLOOKUP(A1291,[1]HD_price_daily!$A$8:$B$1768,2,0)</f>
        <v>288.07</v>
      </c>
      <c r="C1291">
        <f t="shared" si="80"/>
        <v>-2.7874329295042632E-2</v>
      </c>
      <c r="D1291" s="1" t="str">
        <f t="shared" ca="1" si="81"/>
        <v>=B1291/B1290-1</v>
      </c>
      <c r="E1291" s="8">
        <f>VLOOKUP(A1291,'[1]S&amp;P500_DAILY'!$A$8:$B$1768,2,0)</f>
        <v>4055.99</v>
      </c>
      <c r="F1291" s="1">
        <f t="shared" si="82"/>
        <v>-3.8412134697898281E-3</v>
      </c>
      <c r="G1291" s="1" t="str">
        <f t="shared" ca="1" si="83"/>
        <v>=E1291/E1290-1</v>
      </c>
    </row>
    <row r="1292" spans="1:7">
      <c r="A1292" s="14">
        <v>45043</v>
      </c>
      <c r="B1292" s="11">
        <f>VLOOKUP(A1292,[1]HD_price_daily!$A$8:$B$1768,2,0)</f>
        <v>293.93</v>
      </c>
      <c r="C1292">
        <f t="shared" si="80"/>
        <v>2.034227791856158E-2</v>
      </c>
      <c r="D1292" s="1" t="str">
        <f t="shared" ca="1" si="81"/>
        <v>=B1292/B1291-1</v>
      </c>
      <c r="E1292" s="8">
        <f>VLOOKUP(A1292,'[1]S&amp;P500_DAILY'!$A$8:$B$1768,2,0)</f>
        <v>4135.3500000000004</v>
      </c>
      <c r="F1292" s="1">
        <f t="shared" si="82"/>
        <v>1.9566123190639217E-2</v>
      </c>
      <c r="G1292" s="1" t="str">
        <f t="shared" ca="1" si="83"/>
        <v>=E1292/E1291-1</v>
      </c>
    </row>
    <row r="1293" spans="1:7">
      <c r="A1293" s="14">
        <v>45044</v>
      </c>
      <c r="B1293" s="11">
        <f>VLOOKUP(A1293,[1]HD_price_daily!$A$8:$B$1768,2,0)</f>
        <v>300.54000000000002</v>
      </c>
      <c r="C1293">
        <f t="shared" si="80"/>
        <v>2.2488347565746913E-2</v>
      </c>
      <c r="D1293" s="1" t="str">
        <f t="shared" ca="1" si="81"/>
        <v>=B1293/B1292-1</v>
      </c>
      <c r="E1293" s="8">
        <f>VLOOKUP(A1293,'[1]S&amp;P500_DAILY'!$A$8:$B$1768,2,0)</f>
        <v>4169.4799999999996</v>
      </c>
      <c r="F1293" s="1">
        <f t="shared" si="82"/>
        <v>8.2532312863479174E-3</v>
      </c>
      <c r="G1293" s="1" t="str">
        <f t="shared" ca="1" si="83"/>
        <v>=E1293/E1292-1</v>
      </c>
    </row>
    <row r="1294" spans="1:7">
      <c r="A1294" s="14">
        <v>45047</v>
      </c>
      <c r="B1294" s="11">
        <f>VLOOKUP(A1294,[1]HD_price_daily!$A$8:$B$1768,2,0)</f>
        <v>297.7</v>
      </c>
      <c r="C1294">
        <f t="shared" si="80"/>
        <v>-9.4496572835564008E-3</v>
      </c>
      <c r="D1294" s="1" t="str">
        <f t="shared" ca="1" si="81"/>
        <v>=B1294/B1293-1</v>
      </c>
      <c r="E1294" s="8">
        <f>VLOOKUP(A1294,'[1]S&amp;P500_DAILY'!$A$8:$B$1768,2,0)</f>
        <v>4167.87</v>
      </c>
      <c r="F1294" s="1">
        <f t="shared" si="82"/>
        <v>-3.861392787588569E-4</v>
      </c>
      <c r="G1294" s="1" t="str">
        <f t="shared" ca="1" si="83"/>
        <v>=E1294/E1293-1</v>
      </c>
    </row>
    <row r="1295" spans="1:7">
      <c r="A1295" s="14">
        <v>45048</v>
      </c>
      <c r="B1295" s="11">
        <f>VLOOKUP(A1295,[1]HD_price_daily!$A$8:$B$1768,2,0)</f>
        <v>294.27999999999997</v>
      </c>
      <c r="C1295">
        <f t="shared" si="80"/>
        <v>-1.1488075243533791E-2</v>
      </c>
      <c r="D1295" s="1" t="str">
        <f t="shared" ca="1" si="81"/>
        <v>=B1295/B1294-1</v>
      </c>
      <c r="E1295" s="8">
        <f>VLOOKUP(A1295,'[1]S&amp;P500_DAILY'!$A$8:$B$1768,2,0)</f>
        <v>4119.58</v>
      </c>
      <c r="F1295" s="1">
        <f t="shared" si="82"/>
        <v>-1.1586253889876552E-2</v>
      </c>
      <c r="G1295" s="1" t="str">
        <f t="shared" ca="1" si="83"/>
        <v>=E1295/E1294-1</v>
      </c>
    </row>
    <row r="1296" spans="1:7">
      <c r="A1296" s="14">
        <v>45049</v>
      </c>
      <c r="B1296" s="11">
        <f>VLOOKUP(A1296,[1]HD_price_daily!$A$8:$B$1768,2,0)</f>
        <v>293.08</v>
      </c>
      <c r="C1296">
        <f t="shared" si="80"/>
        <v>-4.0777490825064655E-3</v>
      </c>
      <c r="D1296" s="1" t="str">
        <f t="shared" ca="1" si="81"/>
        <v>=B1296/B1295-1</v>
      </c>
      <c r="E1296" s="8">
        <f>VLOOKUP(A1296,'[1]S&amp;P500_DAILY'!$A$8:$B$1768,2,0)</f>
        <v>4090.75</v>
      </c>
      <c r="F1296" s="1">
        <f t="shared" si="82"/>
        <v>-6.9982862330625339E-3</v>
      </c>
      <c r="G1296" s="1" t="str">
        <f t="shared" ca="1" si="83"/>
        <v>=E1296/E1295-1</v>
      </c>
    </row>
    <row r="1297" spans="1:7">
      <c r="A1297" s="14">
        <v>45050</v>
      </c>
      <c r="B1297" s="11">
        <f>VLOOKUP(A1297,[1]HD_price_daily!$A$8:$B$1768,2,0)</f>
        <v>285.75</v>
      </c>
      <c r="C1297">
        <f t="shared" si="80"/>
        <v>-2.5010236113006679E-2</v>
      </c>
      <c r="D1297" s="1" t="str">
        <f t="shared" ca="1" si="81"/>
        <v>=B1297/B1296-1</v>
      </c>
      <c r="E1297" s="8">
        <f>VLOOKUP(A1297,'[1]S&amp;P500_DAILY'!$A$8:$B$1768,2,0)</f>
        <v>4061.22</v>
      </c>
      <c r="F1297" s="1">
        <f t="shared" si="82"/>
        <v>-7.2187251726456569E-3</v>
      </c>
      <c r="G1297" s="1" t="str">
        <f t="shared" ca="1" si="83"/>
        <v>=E1297/E1296-1</v>
      </c>
    </row>
    <row r="1298" spans="1:7">
      <c r="A1298" s="14">
        <v>45051</v>
      </c>
      <c r="B1298" s="11">
        <f>VLOOKUP(A1298,[1]HD_price_daily!$A$8:$B$1768,2,0)</f>
        <v>289.62</v>
      </c>
      <c r="C1298">
        <f t="shared" si="80"/>
        <v>1.354330708661422E-2</v>
      </c>
      <c r="D1298" s="1" t="str">
        <f t="shared" ca="1" si="81"/>
        <v>=B1298/B1297-1</v>
      </c>
      <c r="E1298" s="8">
        <f>VLOOKUP(A1298,'[1]S&amp;P500_DAILY'!$A$8:$B$1768,2,0)</f>
        <v>4136.25</v>
      </c>
      <c r="F1298" s="1">
        <f t="shared" si="82"/>
        <v>1.8474744042430657E-2</v>
      </c>
      <c r="G1298" s="1" t="str">
        <f t="shared" ca="1" si="83"/>
        <v>=E1298/E1297-1</v>
      </c>
    </row>
    <row r="1299" spans="1:7">
      <c r="A1299" s="14">
        <v>45054</v>
      </c>
      <c r="B1299" s="11">
        <f>VLOOKUP(A1299,[1]HD_price_daily!$A$8:$B$1768,2,0)</f>
        <v>287.93</v>
      </c>
      <c r="C1299">
        <f t="shared" si="80"/>
        <v>-5.8352323734548461E-3</v>
      </c>
      <c r="D1299" s="1" t="str">
        <f t="shared" ca="1" si="81"/>
        <v>=B1299/B1298-1</v>
      </c>
      <c r="E1299" s="8">
        <f>VLOOKUP(A1299,'[1]S&amp;P500_DAILY'!$A$8:$B$1768,2,0)</f>
        <v>4138.12</v>
      </c>
      <c r="F1299" s="1">
        <f t="shared" si="82"/>
        <v>4.5210033242670811E-4</v>
      </c>
      <c r="G1299" s="1" t="str">
        <f t="shared" ca="1" si="83"/>
        <v>=E1299/E1298-1</v>
      </c>
    </row>
    <row r="1300" spans="1:7">
      <c r="A1300" s="14">
        <v>45055</v>
      </c>
      <c r="B1300" s="11">
        <f>VLOOKUP(A1300,[1]HD_price_daily!$A$8:$B$1768,2,0)</f>
        <v>290.58</v>
      </c>
      <c r="C1300">
        <f t="shared" si="80"/>
        <v>9.2036258812904226E-3</v>
      </c>
      <c r="D1300" s="1" t="str">
        <f t="shared" ca="1" si="81"/>
        <v>=B1300/B1299-1</v>
      </c>
      <c r="E1300" s="8">
        <f>VLOOKUP(A1300,'[1]S&amp;P500_DAILY'!$A$8:$B$1768,2,0)</f>
        <v>4119.17</v>
      </c>
      <c r="F1300" s="1">
        <f t="shared" si="82"/>
        <v>-4.5793742085777911E-3</v>
      </c>
      <c r="G1300" s="1" t="str">
        <f t="shared" ca="1" si="83"/>
        <v>=E1300/E1299-1</v>
      </c>
    </row>
    <row r="1301" spans="1:7">
      <c r="A1301" s="14">
        <v>45056</v>
      </c>
      <c r="B1301" s="11">
        <f>VLOOKUP(A1301,[1]HD_price_daily!$A$8:$B$1768,2,0)</f>
        <v>289.02999999999997</v>
      </c>
      <c r="C1301">
        <f t="shared" si="80"/>
        <v>-5.3341592676715566E-3</v>
      </c>
      <c r="D1301" s="1" t="str">
        <f t="shared" ca="1" si="81"/>
        <v>=B1301/B1300-1</v>
      </c>
      <c r="E1301" s="8">
        <f>VLOOKUP(A1301,'[1]S&amp;P500_DAILY'!$A$8:$B$1768,2,0)</f>
        <v>4137.6400000000003</v>
      </c>
      <c r="F1301" s="1">
        <f t="shared" si="82"/>
        <v>4.4839130213125689E-3</v>
      </c>
      <c r="G1301" s="1" t="str">
        <f t="shared" ca="1" si="83"/>
        <v>=E1301/E1300-1</v>
      </c>
    </row>
    <row r="1302" spans="1:7">
      <c r="A1302" s="14">
        <v>45057</v>
      </c>
      <c r="B1302" s="11">
        <f>VLOOKUP(A1302,[1]HD_price_daily!$A$8:$B$1768,2,0)</f>
        <v>287.69</v>
      </c>
      <c r="C1302">
        <f t="shared" si="80"/>
        <v>-4.6361969345741771E-3</v>
      </c>
      <c r="D1302" s="1" t="str">
        <f t="shared" ca="1" si="81"/>
        <v>=B1302/B1301-1</v>
      </c>
      <c r="E1302" s="8">
        <f>VLOOKUP(A1302,'[1]S&amp;P500_DAILY'!$A$8:$B$1768,2,0)</f>
        <v>4130.62</v>
      </c>
      <c r="F1302" s="1">
        <f t="shared" si="82"/>
        <v>-1.6966193288928677E-3</v>
      </c>
      <c r="G1302" s="1" t="str">
        <f t="shared" ca="1" si="83"/>
        <v>=E1302/E1301-1</v>
      </c>
    </row>
    <row r="1303" spans="1:7">
      <c r="A1303" s="14">
        <v>45058</v>
      </c>
      <c r="B1303" s="11">
        <f>VLOOKUP(A1303,[1]HD_price_daily!$A$8:$B$1768,2,0)</f>
        <v>290.47000000000003</v>
      </c>
      <c r="C1303">
        <f t="shared" si="80"/>
        <v>9.6631791164101255E-3</v>
      </c>
      <c r="D1303" s="1" t="str">
        <f t="shared" ca="1" si="81"/>
        <v>=B1303/B1302-1</v>
      </c>
      <c r="E1303" s="8">
        <f>VLOOKUP(A1303,'[1]S&amp;P500_DAILY'!$A$8:$B$1768,2,0)</f>
        <v>4124.08</v>
      </c>
      <c r="F1303" s="1">
        <f t="shared" si="82"/>
        <v>-1.5832974226629437E-3</v>
      </c>
      <c r="G1303" s="1" t="str">
        <f t="shared" ca="1" si="83"/>
        <v>=E1303/E1302-1</v>
      </c>
    </row>
    <row r="1304" spans="1:7">
      <c r="A1304" s="14">
        <v>45061</v>
      </c>
      <c r="B1304" s="11">
        <f>VLOOKUP(A1304,[1]HD_price_daily!$A$8:$B$1768,2,0)</f>
        <v>288.54000000000002</v>
      </c>
      <c r="C1304">
        <f t="shared" si="80"/>
        <v>-6.6444038971322783E-3</v>
      </c>
      <c r="D1304" s="1" t="str">
        <f t="shared" ca="1" si="81"/>
        <v>=B1304/B1303-1</v>
      </c>
      <c r="E1304" s="8">
        <f>VLOOKUP(A1304,'[1]S&amp;P500_DAILY'!$A$8:$B$1768,2,0)</f>
        <v>4136.28</v>
      </c>
      <c r="F1304" s="1">
        <f t="shared" si="82"/>
        <v>2.958235533743192E-3</v>
      </c>
      <c r="G1304" s="1" t="str">
        <f t="shared" ca="1" si="83"/>
        <v>=E1304/E1303-1</v>
      </c>
    </row>
    <row r="1305" spans="1:7">
      <c r="A1305" s="14">
        <v>45062</v>
      </c>
      <c r="B1305" s="11">
        <f>VLOOKUP(A1305,[1]HD_price_daily!$A$8:$B$1768,2,0)</f>
        <v>282.33</v>
      </c>
      <c r="C1305">
        <f t="shared" si="80"/>
        <v>-2.1522145976294538E-2</v>
      </c>
      <c r="D1305" s="1" t="str">
        <f t="shared" ca="1" si="81"/>
        <v>=B1305/B1304-1</v>
      </c>
      <c r="E1305" s="8">
        <f>VLOOKUP(A1305,'[1]S&amp;P500_DAILY'!$A$8:$B$1768,2,0)</f>
        <v>4109.8999999999996</v>
      </c>
      <c r="F1305" s="1">
        <f t="shared" si="82"/>
        <v>-6.3777113735047353E-3</v>
      </c>
      <c r="G1305" s="1" t="str">
        <f t="shared" ca="1" si="83"/>
        <v>=E1305/E1304-1</v>
      </c>
    </row>
    <row r="1306" spans="1:7">
      <c r="A1306" s="14">
        <v>45063</v>
      </c>
      <c r="B1306" s="11">
        <f>VLOOKUP(A1306,[1]HD_price_daily!$A$8:$B$1768,2,0)</f>
        <v>292.39</v>
      </c>
      <c r="C1306">
        <f t="shared" si="80"/>
        <v>3.5632061771685652E-2</v>
      </c>
      <c r="D1306" s="1" t="str">
        <f t="shared" ca="1" si="81"/>
        <v>=B1306/B1305-1</v>
      </c>
      <c r="E1306" s="8">
        <f>VLOOKUP(A1306,'[1]S&amp;P500_DAILY'!$A$8:$B$1768,2,0)</f>
        <v>4158.7700000000004</v>
      </c>
      <c r="F1306" s="1">
        <f t="shared" si="82"/>
        <v>1.1890800262780221E-2</v>
      </c>
      <c r="G1306" s="1" t="str">
        <f t="shared" ca="1" si="83"/>
        <v>=E1306/E1305-1</v>
      </c>
    </row>
    <row r="1307" spans="1:7">
      <c r="A1307" s="14">
        <v>45064</v>
      </c>
      <c r="B1307" s="11">
        <f>VLOOKUP(A1307,[1]HD_price_daily!$A$8:$B$1768,2,0)</f>
        <v>295.16000000000003</v>
      </c>
      <c r="C1307">
        <f t="shared" si="80"/>
        <v>9.4736482095831853E-3</v>
      </c>
      <c r="D1307" s="1" t="str">
        <f t="shared" ca="1" si="81"/>
        <v>=B1307/B1306-1</v>
      </c>
      <c r="E1307" s="8">
        <f>VLOOKUP(A1307,'[1]S&amp;P500_DAILY'!$A$8:$B$1768,2,0)</f>
        <v>4198.05</v>
      </c>
      <c r="F1307" s="1">
        <f t="shared" si="82"/>
        <v>9.4451003541911049E-3</v>
      </c>
      <c r="G1307" s="1" t="str">
        <f t="shared" ca="1" si="83"/>
        <v>=E1307/E1306-1</v>
      </c>
    </row>
    <row r="1308" spans="1:7">
      <c r="A1308" s="14">
        <v>45065</v>
      </c>
      <c r="B1308" s="11">
        <f>VLOOKUP(A1308,[1]HD_price_daily!$A$8:$B$1768,2,0)</f>
        <v>290.88</v>
      </c>
      <c r="C1308">
        <f t="shared" si="80"/>
        <v>-1.4500609838731582E-2</v>
      </c>
      <c r="D1308" s="1" t="str">
        <f t="shared" ca="1" si="81"/>
        <v>=B1308/B1307-1</v>
      </c>
      <c r="E1308" s="8">
        <f>VLOOKUP(A1308,'[1]S&amp;P500_DAILY'!$A$8:$B$1768,2,0)</f>
        <v>4191.9799999999996</v>
      </c>
      <c r="F1308" s="1">
        <f t="shared" si="82"/>
        <v>-1.445909410321633E-3</v>
      </c>
      <c r="G1308" s="1" t="str">
        <f t="shared" ca="1" si="83"/>
        <v>=E1308/E1307-1</v>
      </c>
    </row>
    <row r="1309" spans="1:7">
      <c r="A1309" s="14">
        <v>45068</v>
      </c>
      <c r="B1309" s="11">
        <f>VLOOKUP(A1309,[1]HD_price_daily!$A$8:$B$1768,2,0)</f>
        <v>290.66000000000003</v>
      </c>
      <c r="C1309">
        <f t="shared" si="80"/>
        <v>-7.5632563256311514E-4</v>
      </c>
      <c r="D1309" s="1" t="str">
        <f t="shared" ca="1" si="81"/>
        <v>=B1309/B1308-1</v>
      </c>
      <c r="E1309" s="8">
        <f>VLOOKUP(A1309,'[1]S&amp;P500_DAILY'!$A$8:$B$1768,2,0)</f>
        <v>4192.63</v>
      </c>
      <c r="F1309" s="1">
        <f t="shared" si="82"/>
        <v>1.5505799168891166E-4</v>
      </c>
      <c r="G1309" s="1" t="str">
        <f t="shared" ca="1" si="83"/>
        <v>=E1309/E1308-1</v>
      </c>
    </row>
    <row r="1310" spans="1:7">
      <c r="A1310" s="14">
        <v>45069</v>
      </c>
      <c r="B1310" s="11">
        <f>VLOOKUP(A1310,[1]HD_price_daily!$A$8:$B$1768,2,0)</f>
        <v>294.94</v>
      </c>
      <c r="C1310">
        <f t="shared" si="80"/>
        <v>1.472510837404517E-2</v>
      </c>
      <c r="D1310" s="1" t="str">
        <f t="shared" ca="1" si="81"/>
        <v>=B1310/B1309-1</v>
      </c>
      <c r="E1310" s="8">
        <f>VLOOKUP(A1310,'[1]S&amp;P500_DAILY'!$A$8:$B$1768,2,0)</f>
        <v>4145.58</v>
      </c>
      <c r="F1310" s="1">
        <f t="shared" si="82"/>
        <v>-1.1222073018606449E-2</v>
      </c>
      <c r="G1310" s="1" t="str">
        <f t="shared" ca="1" si="83"/>
        <v>=E1310/E1309-1</v>
      </c>
    </row>
    <row r="1311" spans="1:7">
      <c r="A1311" s="14">
        <v>45070</v>
      </c>
      <c r="B1311" s="11">
        <f>VLOOKUP(A1311,[1]HD_price_daily!$A$8:$B$1768,2,0)</f>
        <v>291.10000000000002</v>
      </c>
      <c r="C1311">
        <f t="shared" si="80"/>
        <v>-1.3019597206211375E-2</v>
      </c>
      <c r="D1311" s="1" t="str">
        <f t="shared" ca="1" si="81"/>
        <v>=B1311/B1310-1</v>
      </c>
      <c r="E1311" s="8">
        <f>VLOOKUP(A1311,'[1]S&amp;P500_DAILY'!$A$8:$B$1768,2,0)</f>
        <v>4115.24</v>
      </c>
      <c r="F1311" s="1">
        <f t="shared" si="82"/>
        <v>-7.3186381640205633E-3</v>
      </c>
      <c r="G1311" s="1" t="str">
        <f t="shared" ca="1" si="83"/>
        <v>=E1311/E1310-1</v>
      </c>
    </row>
    <row r="1312" spans="1:7">
      <c r="A1312" s="14">
        <v>45071</v>
      </c>
      <c r="B1312" s="11">
        <f>VLOOKUP(A1312,[1]HD_price_daily!$A$8:$B$1768,2,0)</f>
        <v>286.75</v>
      </c>
      <c r="C1312">
        <f t="shared" si="80"/>
        <v>-1.4943318447269038E-2</v>
      </c>
      <c r="D1312" s="1" t="str">
        <f t="shared" ca="1" si="81"/>
        <v>=B1312/B1311-1</v>
      </c>
      <c r="E1312" s="8">
        <f>VLOOKUP(A1312,'[1]S&amp;P500_DAILY'!$A$8:$B$1768,2,0)</f>
        <v>4151.28</v>
      </c>
      <c r="F1312" s="1">
        <f t="shared" si="82"/>
        <v>8.7576909244662104E-3</v>
      </c>
      <c r="G1312" s="1" t="str">
        <f t="shared" ca="1" si="83"/>
        <v>=E1312/E1311-1</v>
      </c>
    </row>
    <row r="1313" spans="1:7">
      <c r="A1313" s="14">
        <v>45072</v>
      </c>
      <c r="B1313" s="11">
        <f>VLOOKUP(A1313,[1]HD_price_daily!$A$8:$B$1768,2,0)</f>
        <v>292.83</v>
      </c>
      <c r="C1313">
        <f t="shared" si="80"/>
        <v>2.1203138622493345E-2</v>
      </c>
      <c r="D1313" s="1" t="str">
        <f t="shared" ca="1" si="81"/>
        <v>=B1313/B1312-1</v>
      </c>
      <c r="E1313" s="8">
        <f>VLOOKUP(A1313,'[1]S&amp;P500_DAILY'!$A$8:$B$1768,2,0)</f>
        <v>4205.45</v>
      </c>
      <c r="F1313" s="1">
        <f t="shared" si="82"/>
        <v>1.3048987300302572E-2</v>
      </c>
      <c r="G1313" s="1" t="str">
        <f t="shared" ca="1" si="83"/>
        <v>=E1313/E1312-1</v>
      </c>
    </row>
    <row r="1314" spans="1:7">
      <c r="A1314" s="14">
        <v>45076</v>
      </c>
      <c r="B1314" s="11">
        <f>VLOOKUP(A1314,[1]HD_price_daily!$A$8:$B$1768,2,0)</f>
        <v>292.39999999999998</v>
      </c>
      <c r="C1314">
        <f t="shared" si="80"/>
        <v>-1.468428781204123E-3</v>
      </c>
      <c r="D1314" s="1" t="str">
        <f t="shared" ca="1" si="81"/>
        <v>=B1314/B1313-1</v>
      </c>
      <c r="E1314" s="8">
        <f>VLOOKUP(A1314,'[1]S&amp;P500_DAILY'!$A$8:$B$1768,2,0)</f>
        <v>4205.5200000000004</v>
      </c>
      <c r="F1314" s="1">
        <f t="shared" si="82"/>
        <v>1.6645067709930572E-5</v>
      </c>
      <c r="G1314" s="1" t="str">
        <f t="shared" ca="1" si="83"/>
        <v>=E1314/E1313-1</v>
      </c>
    </row>
    <row r="1315" spans="1:7">
      <c r="A1315" s="14">
        <v>45077</v>
      </c>
      <c r="B1315" s="11">
        <f>VLOOKUP(A1315,[1]HD_price_daily!$A$8:$B$1768,2,0)</f>
        <v>283.45</v>
      </c>
      <c r="C1315">
        <f t="shared" si="80"/>
        <v>-3.0608755129958976E-2</v>
      </c>
      <c r="D1315" s="1" t="str">
        <f t="shared" ca="1" si="81"/>
        <v>=B1315/B1314-1</v>
      </c>
      <c r="E1315" s="8">
        <f>VLOOKUP(A1315,'[1]S&amp;P500_DAILY'!$A$8:$B$1768,2,0)</f>
        <v>4179.83</v>
      </c>
      <c r="F1315" s="1">
        <f t="shared" si="82"/>
        <v>-6.1086381707852189E-3</v>
      </c>
      <c r="G1315" s="1" t="str">
        <f t="shared" ca="1" si="83"/>
        <v>=E1315/E1314-1</v>
      </c>
    </row>
    <row r="1316" spans="1:7">
      <c r="A1316" s="14">
        <v>45078</v>
      </c>
      <c r="B1316" s="11">
        <f>VLOOKUP(A1316,[1]HD_price_daily!$A$8:$B$1768,2,0)</f>
        <v>288.39</v>
      </c>
      <c r="C1316">
        <f t="shared" si="80"/>
        <v>1.7428117833833134E-2</v>
      </c>
      <c r="D1316" s="1" t="str">
        <f t="shared" ca="1" si="81"/>
        <v>=B1316/B1315-1</v>
      </c>
      <c r="E1316" s="8">
        <f>VLOOKUP(A1316,'[1]S&amp;P500_DAILY'!$A$8:$B$1768,2,0)</f>
        <v>4221.0200000000004</v>
      </c>
      <c r="F1316" s="1">
        <f t="shared" si="82"/>
        <v>9.8544677654355262E-3</v>
      </c>
      <c r="G1316" s="1" t="str">
        <f t="shared" ca="1" si="83"/>
        <v>=E1316/E1315-1</v>
      </c>
    </row>
    <row r="1317" spans="1:7">
      <c r="A1317" s="14">
        <v>45079</v>
      </c>
      <c r="B1317" s="11">
        <f>VLOOKUP(A1317,[1]HD_price_daily!$A$8:$B$1768,2,0)</f>
        <v>295.94</v>
      </c>
      <c r="C1317">
        <f t="shared" si="80"/>
        <v>2.6179825930163991E-2</v>
      </c>
      <c r="D1317" s="1" t="str">
        <f t="shared" ca="1" si="81"/>
        <v>=B1317/B1316-1</v>
      </c>
      <c r="E1317" s="8">
        <f>VLOOKUP(A1317,'[1]S&amp;P500_DAILY'!$A$8:$B$1768,2,0)</f>
        <v>4282.37</v>
      </c>
      <c r="F1317" s="1">
        <f t="shared" si="82"/>
        <v>1.4534401637518846E-2</v>
      </c>
      <c r="G1317" s="1" t="str">
        <f t="shared" ca="1" si="83"/>
        <v>=E1317/E1316-1</v>
      </c>
    </row>
    <row r="1318" spans="1:7">
      <c r="A1318" s="14">
        <v>45082</v>
      </c>
      <c r="B1318" s="11">
        <f>VLOOKUP(A1318,[1]HD_price_daily!$A$8:$B$1768,2,0)</f>
        <v>293.10000000000002</v>
      </c>
      <c r="C1318">
        <f t="shared" si="80"/>
        <v>-9.5965398391565371E-3</v>
      </c>
      <c r="D1318" s="1" t="str">
        <f t="shared" ca="1" si="81"/>
        <v>=B1318/B1317-1</v>
      </c>
      <c r="E1318" s="8">
        <f>VLOOKUP(A1318,'[1]S&amp;P500_DAILY'!$A$8:$B$1768,2,0)</f>
        <v>4273.79</v>
      </c>
      <c r="F1318" s="1">
        <f t="shared" si="82"/>
        <v>-2.0035634473434261E-3</v>
      </c>
      <c r="G1318" s="1" t="str">
        <f t="shared" ca="1" si="83"/>
        <v>=E1318/E1317-1</v>
      </c>
    </row>
    <row r="1319" spans="1:7">
      <c r="A1319" s="14">
        <v>45083</v>
      </c>
      <c r="B1319" s="11">
        <f>VLOOKUP(A1319,[1]HD_price_daily!$A$8:$B$1768,2,0)</f>
        <v>296</v>
      </c>
      <c r="C1319">
        <f t="shared" si="80"/>
        <v>9.8942340498122672E-3</v>
      </c>
      <c r="D1319" s="1" t="str">
        <f t="shared" ca="1" si="81"/>
        <v>=B1319/B1318-1</v>
      </c>
      <c r="E1319" s="8">
        <f>VLOOKUP(A1319,'[1]S&amp;P500_DAILY'!$A$8:$B$1768,2,0)</f>
        <v>4283.8500000000004</v>
      </c>
      <c r="F1319" s="1">
        <f t="shared" si="82"/>
        <v>2.3538826194080542E-3</v>
      </c>
      <c r="G1319" s="1" t="str">
        <f t="shared" ca="1" si="83"/>
        <v>=E1319/E1318-1</v>
      </c>
    </row>
    <row r="1320" spans="1:7">
      <c r="A1320" s="14">
        <v>45084</v>
      </c>
      <c r="B1320" s="11">
        <f>VLOOKUP(A1320,[1]HD_price_daily!$A$8:$B$1768,2,0)</f>
        <v>301.7</v>
      </c>
      <c r="C1320">
        <f t="shared" si="80"/>
        <v>1.9256756756756754E-2</v>
      </c>
      <c r="D1320" s="1" t="str">
        <f t="shared" ca="1" si="81"/>
        <v>=B1320/B1319-1</v>
      </c>
      <c r="E1320" s="8">
        <f>VLOOKUP(A1320,'[1]S&amp;P500_DAILY'!$A$8:$B$1768,2,0)</f>
        <v>4267.5200000000004</v>
      </c>
      <c r="F1320" s="1">
        <f t="shared" si="82"/>
        <v>-3.8119915496573897E-3</v>
      </c>
      <c r="G1320" s="1" t="str">
        <f t="shared" ca="1" si="83"/>
        <v>=E1320/E1319-1</v>
      </c>
    </row>
    <row r="1321" spans="1:7">
      <c r="A1321" s="14">
        <v>45085</v>
      </c>
      <c r="B1321" s="11">
        <f>VLOOKUP(A1321,[1]HD_price_daily!$A$8:$B$1768,2,0)</f>
        <v>301.08999999999997</v>
      </c>
      <c r="C1321">
        <f t="shared" si="80"/>
        <v>-2.0218760357971766E-3</v>
      </c>
      <c r="D1321" s="1" t="str">
        <f t="shared" ca="1" si="81"/>
        <v>=B1321/B1320-1</v>
      </c>
      <c r="E1321" s="8">
        <f>VLOOKUP(A1321,'[1]S&amp;P500_DAILY'!$A$8:$B$1768,2,0)</f>
        <v>4293.93</v>
      </c>
      <c r="F1321" s="1">
        <f t="shared" si="82"/>
        <v>6.1886060287941191E-3</v>
      </c>
      <c r="G1321" s="1" t="str">
        <f t="shared" ca="1" si="83"/>
        <v>=E1321/E1320-1</v>
      </c>
    </row>
    <row r="1322" spans="1:7">
      <c r="A1322" s="14">
        <v>45086</v>
      </c>
      <c r="B1322" s="11">
        <f>VLOOKUP(A1322,[1]HD_price_daily!$A$8:$B$1768,2,0)</f>
        <v>297.35000000000002</v>
      </c>
      <c r="C1322">
        <f t="shared" si="80"/>
        <v>-1.2421535089175872E-2</v>
      </c>
      <c r="D1322" s="1" t="str">
        <f t="shared" ca="1" si="81"/>
        <v>=B1322/B1321-1</v>
      </c>
      <c r="E1322" s="8">
        <f>VLOOKUP(A1322,'[1]S&amp;P500_DAILY'!$A$8:$B$1768,2,0)</f>
        <v>4298.8599999999997</v>
      </c>
      <c r="F1322" s="1">
        <f t="shared" si="82"/>
        <v>1.1481323635922358E-3</v>
      </c>
      <c r="G1322" s="1" t="str">
        <f t="shared" ca="1" si="83"/>
        <v>=E1322/E1321-1</v>
      </c>
    </row>
    <row r="1323" spans="1:7">
      <c r="A1323" s="14">
        <v>45089</v>
      </c>
      <c r="B1323" s="11">
        <f>VLOOKUP(A1323,[1]HD_price_daily!$A$8:$B$1768,2,0)</f>
        <v>300.86</v>
      </c>
      <c r="C1323">
        <f t="shared" si="80"/>
        <v>1.1804271061039096E-2</v>
      </c>
      <c r="D1323" s="1" t="str">
        <f t="shared" ca="1" si="81"/>
        <v>=B1323/B1322-1</v>
      </c>
      <c r="E1323" s="8">
        <f>VLOOKUP(A1323,'[1]S&amp;P500_DAILY'!$A$8:$B$1768,2,0)</f>
        <v>4338.93</v>
      </c>
      <c r="F1323" s="1">
        <f t="shared" si="82"/>
        <v>9.3210758201012212E-3</v>
      </c>
      <c r="G1323" s="1" t="str">
        <f t="shared" ca="1" si="83"/>
        <v>=E1323/E1322-1</v>
      </c>
    </row>
    <row r="1324" spans="1:7">
      <c r="A1324" s="14">
        <v>45090</v>
      </c>
      <c r="B1324" s="11">
        <f>VLOOKUP(A1324,[1]HD_price_daily!$A$8:$B$1768,2,0)</f>
        <v>300.08</v>
      </c>
      <c r="C1324">
        <f t="shared" si="80"/>
        <v>-2.5925679718142858E-3</v>
      </c>
      <c r="D1324" s="1" t="str">
        <f t="shared" ca="1" si="81"/>
        <v>=B1324/B1323-1</v>
      </c>
      <c r="E1324" s="8">
        <f>VLOOKUP(A1324,'[1]S&amp;P500_DAILY'!$A$8:$B$1768,2,0)</f>
        <v>4369.01</v>
      </c>
      <c r="F1324" s="1">
        <f t="shared" si="82"/>
        <v>6.9325847616807934E-3</v>
      </c>
      <c r="G1324" s="1" t="str">
        <f t="shared" ca="1" si="83"/>
        <v>=E1324/E1323-1</v>
      </c>
    </row>
    <row r="1325" spans="1:7">
      <c r="A1325" s="14">
        <v>45091</v>
      </c>
      <c r="B1325" s="11">
        <f>VLOOKUP(A1325,[1]HD_price_daily!$A$8:$B$1768,2,0)</f>
        <v>299.70999999999998</v>
      </c>
      <c r="C1325">
        <f t="shared" si="80"/>
        <v>-1.2330045321248262E-3</v>
      </c>
      <c r="D1325" s="1" t="str">
        <f t="shared" ca="1" si="81"/>
        <v>=B1325/B1324-1</v>
      </c>
      <c r="E1325" s="8">
        <f>VLOOKUP(A1325,'[1]S&amp;P500_DAILY'!$A$8:$B$1768,2,0)</f>
        <v>4372.59</v>
      </c>
      <c r="F1325" s="1">
        <f t="shared" si="82"/>
        <v>8.1940760034870941E-4</v>
      </c>
      <c r="G1325" s="1" t="str">
        <f t="shared" ca="1" si="83"/>
        <v>=E1325/E1324-1</v>
      </c>
    </row>
    <row r="1326" spans="1:7">
      <c r="A1326" s="14">
        <v>45092</v>
      </c>
      <c r="B1326" s="11">
        <f>VLOOKUP(A1326,[1]HD_price_daily!$A$8:$B$1768,2,0)</f>
        <v>302.02</v>
      </c>
      <c r="C1326">
        <f t="shared" si="80"/>
        <v>7.7074505355176903E-3</v>
      </c>
      <c r="D1326" s="1" t="str">
        <f t="shared" ca="1" si="81"/>
        <v>=B1326/B1325-1</v>
      </c>
      <c r="E1326" s="8">
        <f>VLOOKUP(A1326,'[1]S&amp;P500_DAILY'!$A$8:$B$1768,2,0)</f>
        <v>4425.84</v>
      </c>
      <c r="F1326" s="1">
        <f t="shared" si="82"/>
        <v>1.2178136985173449E-2</v>
      </c>
      <c r="G1326" s="1" t="str">
        <f t="shared" ca="1" si="83"/>
        <v>=E1326/E1325-1</v>
      </c>
    </row>
    <row r="1327" spans="1:7">
      <c r="A1327" s="14">
        <v>45093</v>
      </c>
      <c r="B1327" s="11">
        <f>VLOOKUP(A1327,[1]HD_price_daily!$A$8:$B$1768,2,0)</f>
        <v>300.38</v>
      </c>
      <c r="C1327">
        <f t="shared" si="80"/>
        <v>-5.4301039666246886E-3</v>
      </c>
      <c r="D1327" s="1" t="str">
        <f t="shared" ca="1" si="81"/>
        <v>=B1327/B1326-1</v>
      </c>
      <c r="E1327" s="8">
        <f>VLOOKUP(A1327,'[1]S&amp;P500_DAILY'!$A$8:$B$1768,2,0)</f>
        <v>4409.59</v>
      </c>
      <c r="F1327" s="1">
        <f t="shared" si="82"/>
        <v>-3.6716193988033385E-3</v>
      </c>
      <c r="G1327" s="1" t="str">
        <f t="shared" ca="1" si="83"/>
        <v>=E1327/E1326-1</v>
      </c>
    </row>
    <row r="1328" spans="1:7">
      <c r="A1328" s="14">
        <v>45097</v>
      </c>
      <c r="B1328" s="11">
        <f>VLOOKUP(A1328,[1]HD_price_daily!$A$8:$B$1768,2,0)</f>
        <v>301.41000000000003</v>
      </c>
      <c r="C1328">
        <f t="shared" si="80"/>
        <v>3.4289899460684392E-3</v>
      </c>
      <c r="D1328" s="1" t="str">
        <f t="shared" ca="1" si="81"/>
        <v>=B1328/B1327-1</v>
      </c>
      <c r="E1328" s="8">
        <f>VLOOKUP(A1328,'[1]S&amp;P500_DAILY'!$A$8:$B$1768,2,0)</f>
        <v>4388.71</v>
      </c>
      <c r="F1328" s="1">
        <f t="shared" si="82"/>
        <v>-4.7351341054383544E-3</v>
      </c>
      <c r="G1328" s="1" t="str">
        <f t="shared" ca="1" si="83"/>
        <v>=E1328/E1327-1</v>
      </c>
    </row>
    <row r="1329" spans="1:7">
      <c r="A1329" s="14">
        <v>45098</v>
      </c>
      <c r="B1329" s="11">
        <f>VLOOKUP(A1329,[1]HD_price_daily!$A$8:$B$1768,2,0)</f>
        <v>300.7</v>
      </c>
      <c r="C1329">
        <f t="shared" si="80"/>
        <v>-2.3555953684351039E-3</v>
      </c>
      <c r="D1329" s="1" t="str">
        <f t="shared" ca="1" si="81"/>
        <v>=B1329/B1328-1</v>
      </c>
      <c r="E1329" s="8">
        <f>VLOOKUP(A1329,'[1]S&amp;P500_DAILY'!$A$8:$B$1768,2,0)</f>
        <v>4365.6899999999996</v>
      </c>
      <c r="F1329" s="1">
        <f t="shared" si="82"/>
        <v>-5.245277085977551E-3</v>
      </c>
      <c r="G1329" s="1" t="str">
        <f t="shared" ca="1" si="83"/>
        <v>=E1329/E1328-1</v>
      </c>
    </row>
    <row r="1330" spans="1:7">
      <c r="A1330" s="14">
        <v>45099</v>
      </c>
      <c r="B1330" s="11">
        <f>VLOOKUP(A1330,[1]HD_price_daily!$A$8:$B$1768,2,0)</f>
        <v>301.18</v>
      </c>
      <c r="C1330">
        <f t="shared" si="80"/>
        <v>1.5962753574991773E-3</v>
      </c>
      <c r="D1330" s="1" t="str">
        <f t="shared" ca="1" si="81"/>
        <v>=B1330/B1329-1</v>
      </c>
      <c r="E1330" s="8">
        <f>VLOOKUP(A1330,'[1]S&amp;P500_DAILY'!$A$8:$B$1768,2,0)</f>
        <v>4381.8900000000003</v>
      </c>
      <c r="F1330" s="1">
        <f t="shared" si="82"/>
        <v>3.7107536265745811E-3</v>
      </c>
      <c r="G1330" s="1" t="str">
        <f t="shared" ca="1" si="83"/>
        <v>=E1330/E1329-1</v>
      </c>
    </row>
    <row r="1331" spans="1:7">
      <c r="A1331" s="14">
        <v>45100</v>
      </c>
      <c r="B1331" s="11">
        <f>VLOOKUP(A1331,[1]HD_price_daily!$A$8:$B$1768,2,0)</f>
        <v>300.81</v>
      </c>
      <c r="C1331">
        <f t="shared" si="80"/>
        <v>-1.2285012285012664E-3</v>
      </c>
      <c r="D1331" s="1" t="str">
        <f t="shared" ca="1" si="81"/>
        <v>=B1331/B1330-1</v>
      </c>
      <c r="E1331" s="8">
        <f>VLOOKUP(A1331,'[1]S&amp;P500_DAILY'!$A$8:$B$1768,2,0)</f>
        <v>4348.33</v>
      </c>
      <c r="F1331" s="1">
        <f t="shared" si="82"/>
        <v>-7.6587956338476371E-3</v>
      </c>
      <c r="G1331" s="1" t="str">
        <f t="shared" ca="1" si="83"/>
        <v>=E1331/E1330-1</v>
      </c>
    </row>
    <row r="1332" spans="1:7">
      <c r="A1332" s="14">
        <v>45103</v>
      </c>
      <c r="B1332" s="11">
        <f>VLOOKUP(A1332,[1]HD_price_daily!$A$8:$B$1768,2,0)</f>
        <v>307.89</v>
      </c>
      <c r="C1332">
        <f t="shared" si="80"/>
        <v>2.3536451580731921E-2</v>
      </c>
      <c r="D1332" s="1" t="str">
        <f t="shared" ca="1" si="81"/>
        <v>=B1332/B1331-1</v>
      </c>
      <c r="E1332" s="8">
        <f>VLOOKUP(A1332,'[1]S&amp;P500_DAILY'!$A$8:$B$1768,2,0)</f>
        <v>4328.82</v>
      </c>
      <c r="F1332" s="1">
        <f t="shared" si="82"/>
        <v>-4.4867799822001508E-3</v>
      </c>
      <c r="G1332" s="1" t="str">
        <f t="shared" ca="1" si="83"/>
        <v>=E1332/E1331-1</v>
      </c>
    </row>
    <row r="1333" spans="1:7">
      <c r="A1333" s="14">
        <v>45104</v>
      </c>
      <c r="B1333" s="11">
        <f>VLOOKUP(A1333,[1]HD_price_daily!$A$8:$B$1768,2,0)</f>
        <v>313.74</v>
      </c>
      <c r="C1333">
        <f t="shared" si="80"/>
        <v>1.9000292312189471E-2</v>
      </c>
      <c r="D1333" s="1" t="str">
        <f t="shared" ca="1" si="81"/>
        <v>=B1333/B1332-1</v>
      </c>
      <c r="E1333" s="8">
        <f>VLOOKUP(A1333,'[1]S&amp;P500_DAILY'!$A$8:$B$1768,2,0)</f>
        <v>4378.41</v>
      </c>
      <c r="F1333" s="1">
        <f t="shared" si="82"/>
        <v>1.1455777787018118E-2</v>
      </c>
      <c r="G1333" s="1" t="str">
        <f t="shared" ca="1" si="83"/>
        <v>=E1333/E1332-1</v>
      </c>
    </row>
    <row r="1334" spans="1:7">
      <c r="A1334" s="14">
        <v>45105</v>
      </c>
      <c r="B1334" s="11">
        <f>VLOOKUP(A1334,[1]HD_price_daily!$A$8:$B$1768,2,0)</f>
        <v>306.51</v>
      </c>
      <c r="C1334">
        <f t="shared" si="80"/>
        <v>-2.3044559189137614E-2</v>
      </c>
      <c r="D1334" s="1" t="str">
        <f t="shared" ca="1" si="81"/>
        <v>=B1334/B1333-1</v>
      </c>
      <c r="E1334" s="8">
        <f>VLOOKUP(A1334,'[1]S&amp;P500_DAILY'!$A$8:$B$1768,2,0)</f>
        <v>4376.8599999999997</v>
      </c>
      <c r="F1334" s="1">
        <f t="shared" si="82"/>
        <v>-3.5400978894173374E-4</v>
      </c>
      <c r="G1334" s="1" t="str">
        <f t="shared" ca="1" si="83"/>
        <v>=E1334/E1333-1</v>
      </c>
    </row>
    <row r="1335" spans="1:7">
      <c r="A1335" s="14">
        <v>45106</v>
      </c>
      <c r="B1335" s="11">
        <f>VLOOKUP(A1335,[1]HD_price_daily!$A$8:$B$1768,2,0)</f>
        <v>307.82</v>
      </c>
      <c r="C1335">
        <f t="shared" si="80"/>
        <v>4.2739225473884535E-3</v>
      </c>
      <c r="D1335" s="1" t="str">
        <f t="shared" ca="1" si="81"/>
        <v>=B1335/B1334-1</v>
      </c>
      <c r="E1335" s="8">
        <f>VLOOKUP(A1335,'[1]S&amp;P500_DAILY'!$A$8:$B$1768,2,0)</f>
        <v>4396.4399999999996</v>
      </c>
      <c r="F1335" s="1">
        <f t="shared" si="82"/>
        <v>4.4735266835127518E-3</v>
      </c>
      <c r="G1335" s="1" t="str">
        <f t="shared" ca="1" si="83"/>
        <v>=E1335/E1334-1</v>
      </c>
    </row>
    <row r="1336" spans="1:7">
      <c r="A1336" s="14">
        <v>45107</v>
      </c>
      <c r="B1336" s="11">
        <f>VLOOKUP(A1336,[1]HD_price_daily!$A$8:$B$1768,2,0)</f>
        <v>310.64</v>
      </c>
      <c r="C1336">
        <f t="shared" si="80"/>
        <v>9.1611981027872602E-3</v>
      </c>
      <c r="D1336" s="1" t="str">
        <f t="shared" ca="1" si="81"/>
        <v>=B1336/B1335-1</v>
      </c>
      <c r="E1336" s="8">
        <f>VLOOKUP(A1336,'[1]S&amp;P500_DAILY'!$A$8:$B$1768,2,0)</f>
        <v>4450.38</v>
      </c>
      <c r="F1336" s="1">
        <f t="shared" si="82"/>
        <v>1.2269017659743087E-2</v>
      </c>
      <c r="G1336" s="1" t="str">
        <f t="shared" ca="1" si="83"/>
        <v>=E1336/E1335-1</v>
      </c>
    </row>
    <row r="1337" spans="1:7">
      <c r="A1337" s="14">
        <v>45110</v>
      </c>
      <c r="B1337" s="11">
        <f>VLOOKUP(A1337,[1]HD_price_daily!$A$8:$B$1768,2,0)</f>
        <v>310.02</v>
      </c>
      <c r="C1337">
        <f t="shared" si="80"/>
        <v>-1.9958794746329778E-3</v>
      </c>
      <c r="D1337" s="1" t="str">
        <f t="shared" ca="1" si="81"/>
        <v>=B1337/B1336-1</v>
      </c>
      <c r="E1337" s="8">
        <f>VLOOKUP(A1337,'[1]S&amp;P500_DAILY'!$A$8:$B$1768,2,0)</f>
        <v>4455.59</v>
      </c>
      <c r="F1337" s="1">
        <f t="shared" si="82"/>
        <v>1.1706865481149187E-3</v>
      </c>
      <c r="G1337" s="1" t="str">
        <f t="shared" ca="1" si="83"/>
        <v>=E1337/E1336-1</v>
      </c>
    </row>
    <row r="1338" spans="1:7">
      <c r="A1338" s="14">
        <v>45112</v>
      </c>
      <c r="B1338" s="11">
        <f>VLOOKUP(A1338,[1]HD_price_daily!$A$8:$B$1768,2,0)</f>
        <v>310.8</v>
      </c>
      <c r="C1338">
        <f t="shared" si="80"/>
        <v>2.5159667118250795E-3</v>
      </c>
      <c r="D1338" s="1" t="str">
        <f t="shared" ca="1" si="81"/>
        <v>=B1338/B1337-1</v>
      </c>
      <c r="E1338" s="8">
        <f>VLOOKUP(A1338,'[1]S&amp;P500_DAILY'!$A$8:$B$1768,2,0)</f>
        <v>4446.82</v>
      </c>
      <c r="F1338" s="1">
        <f t="shared" si="82"/>
        <v>-1.9683139606652134E-3</v>
      </c>
      <c r="G1338" s="1" t="str">
        <f t="shared" ca="1" si="83"/>
        <v>=E1338/E1337-1</v>
      </c>
    </row>
    <row r="1339" spans="1:7">
      <c r="A1339" s="14">
        <v>45113</v>
      </c>
      <c r="B1339" s="11">
        <f>VLOOKUP(A1339,[1]HD_price_daily!$A$8:$B$1768,2,0)</f>
        <v>302.02</v>
      </c>
      <c r="C1339">
        <f t="shared" si="80"/>
        <v>-2.8249678249678389E-2</v>
      </c>
      <c r="D1339" s="1" t="str">
        <f t="shared" ca="1" si="81"/>
        <v>=B1339/B1338-1</v>
      </c>
      <c r="E1339" s="8">
        <f>VLOOKUP(A1339,'[1]S&amp;P500_DAILY'!$A$8:$B$1768,2,0)</f>
        <v>4411.59</v>
      </c>
      <c r="F1339" s="1">
        <f t="shared" si="82"/>
        <v>-7.9225154155103672E-3</v>
      </c>
      <c r="G1339" s="1" t="str">
        <f t="shared" ca="1" si="83"/>
        <v>=E1339/E1338-1</v>
      </c>
    </row>
    <row r="1340" spans="1:7">
      <c r="A1340" s="14">
        <v>45114</v>
      </c>
      <c r="B1340" s="11">
        <f>VLOOKUP(A1340,[1]HD_price_daily!$A$8:$B$1768,2,0)</f>
        <v>302.81</v>
      </c>
      <c r="C1340">
        <f t="shared" si="80"/>
        <v>2.6157208131911691E-3</v>
      </c>
      <c r="D1340" s="1" t="str">
        <f t="shared" ca="1" si="81"/>
        <v>=B1340/B1339-1</v>
      </c>
      <c r="E1340" s="8">
        <f>VLOOKUP(A1340,'[1]S&amp;P500_DAILY'!$A$8:$B$1768,2,0)</f>
        <v>4398.95</v>
      </c>
      <c r="F1340" s="1">
        <f t="shared" si="82"/>
        <v>-2.8651801277997935E-3</v>
      </c>
      <c r="G1340" s="1" t="str">
        <f t="shared" ca="1" si="83"/>
        <v>=E1340/E1339-1</v>
      </c>
    </row>
    <row r="1341" spans="1:7">
      <c r="A1341" s="14">
        <v>45117</v>
      </c>
      <c r="B1341" s="11">
        <f>VLOOKUP(A1341,[1]HD_price_daily!$A$8:$B$1768,2,0)</f>
        <v>310.27999999999997</v>
      </c>
      <c r="C1341">
        <f t="shared" si="80"/>
        <v>2.4668934315247082E-2</v>
      </c>
      <c r="D1341" s="1" t="str">
        <f t="shared" ca="1" si="81"/>
        <v>=B1341/B1340-1</v>
      </c>
      <c r="E1341" s="8">
        <f>VLOOKUP(A1341,'[1]S&amp;P500_DAILY'!$A$8:$B$1768,2,0)</f>
        <v>4409.53</v>
      </c>
      <c r="F1341" s="1">
        <f t="shared" si="82"/>
        <v>2.4051194034939716E-3</v>
      </c>
      <c r="G1341" s="1" t="str">
        <f t="shared" ca="1" si="83"/>
        <v>=E1341/E1340-1</v>
      </c>
    </row>
    <row r="1342" spans="1:7">
      <c r="A1342" s="14">
        <v>45118</v>
      </c>
      <c r="B1342" s="11">
        <f>VLOOKUP(A1342,[1]HD_price_daily!$A$8:$B$1768,2,0)</f>
        <v>313.66000000000003</v>
      </c>
      <c r="C1342">
        <f t="shared" si="80"/>
        <v>1.0893386618538337E-2</v>
      </c>
      <c r="D1342" s="1" t="str">
        <f t="shared" ca="1" si="81"/>
        <v>=B1342/B1341-1</v>
      </c>
      <c r="E1342" s="8">
        <f>VLOOKUP(A1342,'[1]S&amp;P500_DAILY'!$A$8:$B$1768,2,0)</f>
        <v>4439.26</v>
      </c>
      <c r="F1342" s="1">
        <f t="shared" si="82"/>
        <v>6.7422151567175792E-3</v>
      </c>
      <c r="G1342" s="1" t="str">
        <f t="shared" ca="1" si="83"/>
        <v>=E1342/E1341-1</v>
      </c>
    </row>
    <row r="1343" spans="1:7">
      <c r="A1343" s="14">
        <v>45119</v>
      </c>
      <c r="B1343" s="11">
        <f>VLOOKUP(A1343,[1]HD_price_daily!$A$8:$B$1768,2,0)</f>
        <v>317.52</v>
      </c>
      <c r="C1343">
        <f t="shared" si="80"/>
        <v>1.230631894407952E-2</v>
      </c>
      <c r="D1343" s="1" t="str">
        <f t="shared" ca="1" si="81"/>
        <v>=B1343/B1342-1</v>
      </c>
      <c r="E1343" s="8">
        <f>VLOOKUP(A1343,'[1]S&amp;P500_DAILY'!$A$8:$B$1768,2,0)</f>
        <v>4472.16</v>
      </c>
      <c r="F1343" s="1">
        <f t="shared" si="82"/>
        <v>7.4111451007599083E-3</v>
      </c>
      <c r="G1343" s="1" t="str">
        <f t="shared" ca="1" si="83"/>
        <v>=E1343/E1342-1</v>
      </c>
    </row>
    <row r="1344" spans="1:7">
      <c r="A1344" s="14">
        <v>45120</v>
      </c>
      <c r="B1344" s="11">
        <f>VLOOKUP(A1344,[1]HD_price_daily!$A$8:$B$1768,2,0)</f>
        <v>314.60000000000002</v>
      </c>
      <c r="C1344">
        <f t="shared" si="80"/>
        <v>-9.1962711010328269E-3</v>
      </c>
      <c r="D1344" s="1" t="str">
        <f t="shared" ca="1" si="81"/>
        <v>=B1344/B1343-1</v>
      </c>
      <c r="E1344" s="8">
        <f>VLOOKUP(A1344,'[1]S&amp;P500_DAILY'!$A$8:$B$1768,2,0)</f>
        <v>4510.04</v>
      </c>
      <c r="F1344" s="1">
        <f t="shared" si="82"/>
        <v>8.4701799577833192E-3</v>
      </c>
      <c r="G1344" s="1" t="str">
        <f t="shared" ca="1" si="83"/>
        <v>=E1344/E1343-1</v>
      </c>
    </row>
    <row r="1345" spans="1:7">
      <c r="A1345" s="14">
        <v>45121</v>
      </c>
      <c r="B1345" s="11">
        <f>VLOOKUP(A1345,[1]HD_price_daily!$A$8:$B$1768,2,0)</f>
        <v>316.5</v>
      </c>
      <c r="C1345">
        <f t="shared" si="80"/>
        <v>6.0394151303242438E-3</v>
      </c>
      <c r="D1345" s="1" t="str">
        <f t="shared" ca="1" si="81"/>
        <v>=B1345/B1344-1</v>
      </c>
      <c r="E1345" s="8">
        <f>VLOOKUP(A1345,'[1]S&amp;P500_DAILY'!$A$8:$B$1768,2,0)</f>
        <v>4505.42</v>
      </c>
      <c r="F1345" s="1">
        <f t="shared" si="82"/>
        <v>-1.0243811584819129E-3</v>
      </c>
      <c r="G1345" s="1" t="str">
        <f t="shared" ca="1" si="83"/>
        <v>=E1345/E1344-1</v>
      </c>
    </row>
    <row r="1346" spans="1:7">
      <c r="A1346" s="14">
        <v>45124</v>
      </c>
      <c r="B1346" s="11">
        <f>VLOOKUP(A1346,[1]HD_price_daily!$A$8:$B$1768,2,0)</f>
        <v>316.05</v>
      </c>
      <c r="C1346">
        <f t="shared" si="80"/>
        <v>-1.4218009478672577E-3</v>
      </c>
      <c r="D1346" s="1" t="str">
        <f t="shared" ca="1" si="81"/>
        <v>=B1346/B1345-1</v>
      </c>
      <c r="E1346" s="8">
        <f>VLOOKUP(A1346,'[1]S&amp;P500_DAILY'!$A$8:$B$1768,2,0)</f>
        <v>4522.79</v>
      </c>
      <c r="F1346" s="1">
        <f t="shared" si="82"/>
        <v>3.8553564373575711E-3</v>
      </c>
      <c r="G1346" s="1" t="str">
        <f t="shared" ca="1" si="83"/>
        <v>=E1346/E1345-1</v>
      </c>
    </row>
    <row r="1347" spans="1:7">
      <c r="A1347" s="14">
        <v>45125</v>
      </c>
      <c r="B1347" s="11">
        <f>VLOOKUP(A1347,[1]HD_price_daily!$A$8:$B$1768,2,0)</f>
        <v>316.76</v>
      </c>
      <c r="C1347">
        <f t="shared" si="80"/>
        <v>2.2464799873436192E-3</v>
      </c>
      <c r="D1347" s="1" t="str">
        <f t="shared" ca="1" si="81"/>
        <v>=B1347/B1346-1</v>
      </c>
      <c r="E1347" s="8">
        <f>VLOOKUP(A1347,'[1]S&amp;P500_DAILY'!$A$8:$B$1768,2,0)</f>
        <v>4554.9799999999996</v>
      </c>
      <c r="F1347" s="1">
        <f t="shared" si="82"/>
        <v>7.1172882225352119E-3</v>
      </c>
      <c r="G1347" s="1" t="str">
        <f t="shared" ca="1" si="83"/>
        <v>=E1347/E1346-1</v>
      </c>
    </row>
    <row r="1348" spans="1:7">
      <c r="A1348" s="14">
        <v>45126</v>
      </c>
      <c r="B1348" s="11">
        <f>VLOOKUP(A1348,[1]HD_price_daily!$A$8:$B$1768,2,0)</f>
        <v>319.48</v>
      </c>
      <c r="C1348">
        <f t="shared" ref="C1348:C1411" si="84">B1348/B1347-1</f>
        <v>8.5869427958076283E-3</v>
      </c>
      <c r="D1348" s="1" t="str">
        <f t="shared" ref="D1348:D1411" ca="1" si="85">_xlfn.FORMULATEXT(C1348)</f>
        <v>=B1348/B1347-1</v>
      </c>
      <c r="E1348" s="8">
        <f>VLOOKUP(A1348,'[1]S&amp;P500_DAILY'!$A$8:$B$1768,2,0)</f>
        <v>4565.72</v>
      </c>
      <c r="F1348" s="1">
        <f t="shared" ref="F1348:F1411" si="86">E1348/E1347-1</f>
        <v>2.3578588709500803E-3</v>
      </c>
      <c r="G1348" s="1" t="str">
        <f t="shared" ref="G1348:G1411" ca="1" si="87">_xlfn.FORMULATEXT(F1348)</f>
        <v>=E1348/E1347-1</v>
      </c>
    </row>
    <row r="1349" spans="1:7">
      <c r="A1349" s="14">
        <v>45127</v>
      </c>
      <c r="B1349" s="11">
        <f>VLOOKUP(A1349,[1]HD_price_daily!$A$8:$B$1768,2,0)</f>
        <v>319.08999999999997</v>
      </c>
      <c r="C1349">
        <f t="shared" si="84"/>
        <v>-1.2207336922500645E-3</v>
      </c>
      <c r="D1349" s="1" t="str">
        <f t="shared" ca="1" si="85"/>
        <v>=B1349/B1348-1</v>
      </c>
      <c r="E1349" s="8">
        <f>VLOOKUP(A1349,'[1]S&amp;P500_DAILY'!$A$8:$B$1768,2,0)</f>
        <v>4534.87</v>
      </c>
      <c r="F1349" s="1">
        <f t="shared" si="86"/>
        <v>-6.7568751478409572E-3</v>
      </c>
      <c r="G1349" s="1" t="str">
        <f t="shared" ca="1" si="87"/>
        <v>=E1349/E1348-1</v>
      </c>
    </row>
    <row r="1350" spans="1:7">
      <c r="A1350" s="14">
        <v>45128</v>
      </c>
      <c r="B1350" s="11">
        <f>VLOOKUP(A1350,[1]HD_price_daily!$A$8:$B$1768,2,0)</f>
        <v>320.47000000000003</v>
      </c>
      <c r="C1350">
        <f t="shared" si="84"/>
        <v>4.3247986461500965E-3</v>
      </c>
      <c r="D1350" s="1" t="str">
        <f t="shared" ca="1" si="85"/>
        <v>=B1350/B1349-1</v>
      </c>
      <c r="E1350" s="8">
        <f>VLOOKUP(A1350,'[1]S&amp;P500_DAILY'!$A$8:$B$1768,2,0)</f>
        <v>4536.34</v>
      </c>
      <c r="F1350" s="1">
        <f t="shared" si="86"/>
        <v>3.2415482692993436E-4</v>
      </c>
      <c r="G1350" s="1" t="str">
        <f t="shared" ca="1" si="87"/>
        <v>=E1350/E1349-1</v>
      </c>
    </row>
    <row r="1351" spans="1:7">
      <c r="A1351" s="14">
        <v>45131</v>
      </c>
      <c r="B1351" s="11">
        <f>VLOOKUP(A1351,[1]HD_price_daily!$A$8:$B$1768,2,0)</f>
        <v>325.11</v>
      </c>
      <c r="C1351">
        <f t="shared" si="84"/>
        <v>1.4478734358910339E-2</v>
      </c>
      <c r="D1351" s="1" t="str">
        <f t="shared" ca="1" si="85"/>
        <v>=B1351/B1350-1</v>
      </c>
      <c r="E1351" s="8">
        <f>VLOOKUP(A1351,'[1]S&amp;P500_DAILY'!$A$8:$B$1768,2,0)</f>
        <v>4554.6400000000003</v>
      </c>
      <c r="F1351" s="1">
        <f t="shared" si="86"/>
        <v>4.0340891555747938E-3</v>
      </c>
      <c r="G1351" s="1" t="str">
        <f t="shared" ca="1" si="87"/>
        <v>=E1351/E1350-1</v>
      </c>
    </row>
    <row r="1352" spans="1:7">
      <c r="A1352" s="14">
        <v>45132</v>
      </c>
      <c r="B1352" s="11">
        <f>VLOOKUP(A1352,[1]HD_price_daily!$A$8:$B$1768,2,0)</f>
        <v>325.13</v>
      </c>
      <c r="C1352">
        <f t="shared" si="84"/>
        <v>6.1517640183250677E-5</v>
      </c>
      <c r="D1352" s="1" t="str">
        <f t="shared" ca="1" si="85"/>
        <v>=B1352/B1351-1</v>
      </c>
      <c r="E1352" s="8">
        <f>VLOOKUP(A1352,'[1]S&amp;P500_DAILY'!$A$8:$B$1768,2,0)</f>
        <v>4567.46</v>
      </c>
      <c r="F1352" s="1">
        <f t="shared" si="86"/>
        <v>2.8147120299297779E-3</v>
      </c>
      <c r="G1352" s="1" t="str">
        <f t="shared" ca="1" si="87"/>
        <v>=E1352/E1351-1</v>
      </c>
    </row>
    <row r="1353" spans="1:7">
      <c r="A1353" s="14">
        <v>45133</v>
      </c>
      <c r="B1353" s="11">
        <f>VLOOKUP(A1353,[1]HD_price_daily!$A$8:$B$1768,2,0)</f>
        <v>329.59</v>
      </c>
      <c r="C1353">
        <f t="shared" si="84"/>
        <v>1.3717589887122017E-2</v>
      </c>
      <c r="D1353" s="1" t="str">
        <f t="shared" ca="1" si="85"/>
        <v>=B1353/B1352-1</v>
      </c>
      <c r="E1353" s="8">
        <f>VLOOKUP(A1353,'[1]S&amp;P500_DAILY'!$A$8:$B$1768,2,0)</f>
        <v>4566.75</v>
      </c>
      <c r="F1353" s="1">
        <f t="shared" si="86"/>
        <v>-1.5544744781559316E-4</v>
      </c>
      <c r="G1353" s="1" t="str">
        <f t="shared" ca="1" si="87"/>
        <v>=E1353/E1352-1</v>
      </c>
    </row>
    <row r="1354" spans="1:7">
      <c r="A1354" s="14">
        <v>45134</v>
      </c>
      <c r="B1354" s="11">
        <f>VLOOKUP(A1354,[1]HD_price_daily!$A$8:$B$1768,2,0)</f>
        <v>329.71</v>
      </c>
      <c r="C1354">
        <f t="shared" si="84"/>
        <v>3.6408871628390571E-4</v>
      </c>
      <c r="D1354" s="1" t="str">
        <f t="shared" ca="1" si="85"/>
        <v>=B1354/B1353-1</v>
      </c>
      <c r="E1354" s="8">
        <f>VLOOKUP(A1354,'[1]S&amp;P500_DAILY'!$A$8:$B$1768,2,0)</f>
        <v>4537.41</v>
      </c>
      <c r="F1354" s="1">
        <f t="shared" si="86"/>
        <v>-6.4247002791920638E-3</v>
      </c>
      <c r="G1354" s="1" t="str">
        <f t="shared" ca="1" si="87"/>
        <v>=E1354/E1353-1</v>
      </c>
    </row>
    <row r="1355" spans="1:7">
      <c r="A1355" s="14">
        <v>45135</v>
      </c>
      <c r="B1355" s="11">
        <f>VLOOKUP(A1355,[1]HD_price_daily!$A$8:$B$1768,2,0)</f>
        <v>331.37</v>
      </c>
      <c r="C1355">
        <f t="shared" si="84"/>
        <v>5.0347274877924342E-3</v>
      </c>
      <c r="D1355" s="1" t="str">
        <f t="shared" ca="1" si="85"/>
        <v>=B1355/B1354-1</v>
      </c>
      <c r="E1355" s="8">
        <f>VLOOKUP(A1355,'[1]S&amp;P500_DAILY'!$A$8:$B$1768,2,0)</f>
        <v>4582.2299999999996</v>
      </c>
      <c r="F1355" s="1">
        <f t="shared" si="86"/>
        <v>9.8778818753428865E-3</v>
      </c>
      <c r="G1355" s="1" t="str">
        <f t="shared" ca="1" si="87"/>
        <v>=E1355/E1354-1</v>
      </c>
    </row>
    <row r="1356" spans="1:7">
      <c r="A1356" s="14">
        <v>45138</v>
      </c>
      <c r="B1356" s="11">
        <f>VLOOKUP(A1356,[1]HD_price_daily!$A$8:$B$1768,2,0)</f>
        <v>333.84</v>
      </c>
      <c r="C1356">
        <f t="shared" si="84"/>
        <v>7.4539034915652724E-3</v>
      </c>
      <c r="D1356" s="1" t="str">
        <f t="shared" ca="1" si="85"/>
        <v>=B1356/B1355-1</v>
      </c>
      <c r="E1356" s="8">
        <f>VLOOKUP(A1356,'[1]S&amp;P500_DAILY'!$A$8:$B$1768,2,0)</f>
        <v>4588.96</v>
      </c>
      <c r="F1356" s="1">
        <f t="shared" si="86"/>
        <v>1.4687171966489831E-3</v>
      </c>
      <c r="G1356" s="1" t="str">
        <f t="shared" ca="1" si="87"/>
        <v>=E1356/E1355-1</v>
      </c>
    </row>
    <row r="1357" spans="1:7">
      <c r="A1357" s="14">
        <v>45139</v>
      </c>
      <c r="B1357" s="11">
        <f>VLOOKUP(A1357,[1]HD_price_daily!$A$8:$B$1768,2,0)</f>
        <v>332.07</v>
      </c>
      <c r="C1357">
        <f t="shared" si="84"/>
        <v>-5.3019410496045749E-3</v>
      </c>
      <c r="D1357" s="1" t="str">
        <f t="shared" ca="1" si="85"/>
        <v>=B1357/B1356-1</v>
      </c>
      <c r="E1357" s="8">
        <f>VLOOKUP(A1357,'[1]S&amp;P500_DAILY'!$A$8:$B$1768,2,0)</f>
        <v>4576.7299999999996</v>
      </c>
      <c r="F1357" s="1">
        <f t="shared" si="86"/>
        <v>-2.6650918726683903E-3</v>
      </c>
      <c r="G1357" s="1" t="str">
        <f t="shared" ca="1" si="87"/>
        <v>=E1357/E1356-1</v>
      </c>
    </row>
    <row r="1358" spans="1:7">
      <c r="A1358" s="14">
        <v>45140</v>
      </c>
      <c r="B1358" s="11">
        <f>VLOOKUP(A1358,[1]HD_price_daily!$A$8:$B$1768,2,0)</f>
        <v>328.5</v>
      </c>
      <c r="C1358">
        <f t="shared" si="84"/>
        <v>-1.075074532478093E-2</v>
      </c>
      <c r="D1358" s="1" t="str">
        <f t="shared" ca="1" si="85"/>
        <v>=B1358/B1357-1</v>
      </c>
      <c r="E1358" s="8">
        <f>VLOOKUP(A1358,'[1]S&amp;P500_DAILY'!$A$8:$B$1768,2,0)</f>
        <v>4513.3900000000003</v>
      </c>
      <c r="F1358" s="1">
        <f t="shared" si="86"/>
        <v>-1.383957541738301E-2</v>
      </c>
      <c r="G1358" s="1" t="str">
        <f t="shared" ca="1" si="87"/>
        <v>=E1358/E1357-1</v>
      </c>
    </row>
    <row r="1359" spans="1:7">
      <c r="A1359" s="14">
        <v>45141</v>
      </c>
      <c r="B1359" s="11">
        <f>VLOOKUP(A1359,[1]HD_price_daily!$A$8:$B$1768,2,0)</f>
        <v>329.85</v>
      </c>
      <c r="C1359">
        <f t="shared" si="84"/>
        <v>4.1095890410960401E-3</v>
      </c>
      <c r="D1359" s="1" t="str">
        <f t="shared" ca="1" si="85"/>
        <v>=B1359/B1358-1</v>
      </c>
      <c r="E1359" s="8">
        <f>VLOOKUP(A1359,'[1]S&amp;P500_DAILY'!$A$8:$B$1768,2,0)</f>
        <v>4501.8900000000003</v>
      </c>
      <c r="F1359" s="1">
        <f t="shared" si="86"/>
        <v>-2.5479739176096361E-3</v>
      </c>
      <c r="G1359" s="1" t="str">
        <f t="shared" ca="1" si="87"/>
        <v>=E1359/E1358-1</v>
      </c>
    </row>
    <row r="1360" spans="1:7">
      <c r="A1360" s="14">
        <v>45142</v>
      </c>
      <c r="B1360" s="11">
        <f>VLOOKUP(A1360,[1]HD_price_daily!$A$8:$B$1768,2,0)</f>
        <v>326.43</v>
      </c>
      <c r="C1360">
        <f t="shared" si="84"/>
        <v>-1.0368349249659015E-2</v>
      </c>
      <c r="D1360" s="1" t="str">
        <f t="shared" ca="1" si="85"/>
        <v>=B1360/B1359-1</v>
      </c>
      <c r="E1360" s="8">
        <f>VLOOKUP(A1360,'[1]S&amp;P500_DAILY'!$A$8:$B$1768,2,0)</f>
        <v>4478.03</v>
      </c>
      <c r="F1360" s="1">
        <f t="shared" si="86"/>
        <v>-5.2999962238083898E-3</v>
      </c>
      <c r="G1360" s="1" t="str">
        <f t="shared" ca="1" si="87"/>
        <v>=E1360/E1359-1</v>
      </c>
    </row>
    <row r="1361" spans="1:7">
      <c r="A1361" s="14">
        <v>45145</v>
      </c>
      <c r="B1361" s="11">
        <f>VLOOKUP(A1361,[1]HD_price_daily!$A$8:$B$1768,2,0)</f>
        <v>329.17</v>
      </c>
      <c r="C1361">
        <f t="shared" si="84"/>
        <v>8.3938363508255787E-3</v>
      </c>
      <c r="D1361" s="1" t="str">
        <f t="shared" ca="1" si="85"/>
        <v>=B1361/B1360-1</v>
      </c>
      <c r="E1361" s="8">
        <f>VLOOKUP(A1361,'[1]S&amp;P500_DAILY'!$A$8:$B$1768,2,0)</f>
        <v>4518.4399999999996</v>
      </c>
      <c r="F1361" s="1">
        <f t="shared" si="86"/>
        <v>9.02405745383561E-3</v>
      </c>
      <c r="G1361" s="1" t="str">
        <f t="shared" ca="1" si="87"/>
        <v>=E1361/E1360-1</v>
      </c>
    </row>
    <row r="1362" spans="1:7">
      <c r="A1362" s="14">
        <v>45146</v>
      </c>
      <c r="B1362" s="11">
        <f>VLOOKUP(A1362,[1]HD_price_daily!$A$8:$B$1768,2,0)</f>
        <v>327.81</v>
      </c>
      <c r="C1362">
        <f t="shared" si="84"/>
        <v>-4.1316037305951792E-3</v>
      </c>
      <c r="D1362" s="1" t="str">
        <f t="shared" ca="1" si="85"/>
        <v>=B1362/B1361-1</v>
      </c>
      <c r="E1362" s="8">
        <f>VLOOKUP(A1362,'[1]S&amp;P500_DAILY'!$A$8:$B$1768,2,0)</f>
        <v>4499.38</v>
      </c>
      <c r="F1362" s="1">
        <f t="shared" si="86"/>
        <v>-4.2182700223970526E-3</v>
      </c>
      <c r="G1362" s="1" t="str">
        <f t="shared" ca="1" si="87"/>
        <v>=E1362/E1361-1</v>
      </c>
    </row>
    <row r="1363" spans="1:7">
      <c r="A1363" s="14">
        <v>45147</v>
      </c>
      <c r="B1363" s="11">
        <f>VLOOKUP(A1363,[1]HD_price_daily!$A$8:$B$1768,2,0)</f>
        <v>328.21</v>
      </c>
      <c r="C1363">
        <f t="shared" si="84"/>
        <v>1.2202190293157944E-3</v>
      </c>
      <c r="D1363" s="1" t="str">
        <f t="shared" ca="1" si="85"/>
        <v>=B1363/B1362-1</v>
      </c>
      <c r="E1363" s="8">
        <f>VLOOKUP(A1363,'[1]S&amp;P500_DAILY'!$A$8:$B$1768,2,0)</f>
        <v>4467.71</v>
      </c>
      <c r="F1363" s="1">
        <f t="shared" si="86"/>
        <v>-7.0387475607750494E-3</v>
      </c>
      <c r="G1363" s="1" t="str">
        <f t="shared" ca="1" si="87"/>
        <v>=E1363/E1362-1</v>
      </c>
    </row>
    <row r="1364" spans="1:7">
      <c r="A1364" s="14">
        <v>45148</v>
      </c>
      <c r="B1364" s="11">
        <f>VLOOKUP(A1364,[1]HD_price_daily!$A$8:$B$1768,2,0)</f>
        <v>329.4</v>
      </c>
      <c r="C1364">
        <f t="shared" si="84"/>
        <v>3.6257274306084053E-3</v>
      </c>
      <c r="D1364" s="1" t="str">
        <f t="shared" ca="1" si="85"/>
        <v>=B1364/B1363-1</v>
      </c>
      <c r="E1364" s="8">
        <f>VLOOKUP(A1364,'[1]S&amp;P500_DAILY'!$A$8:$B$1768,2,0)</f>
        <v>4468.83</v>
      </c>
      <c r="F1364" s="1">
        <f t="shared" si="86"/>
        <v>2.5068771249703303E-4</v>
      </c>
      <c r="G1364" s="1" t="str">
        <f t="shared" ca="1" si="87"/>
        <v>=E1364/E1363-1</v>
      </c>
    </row>
    <row r="1365" spans="1:7">
      <c r="A1365" s="14">
        <v>45149</v>
      </c>
      <c r="B1365" s="11">
        <f>VLOOKUP(A1365,[1]HD_price_daily!$A$8:$B$1768,2,0)</f>
        <v>331.11</v>
      </c>
      <c r="C1365">
        <f t="shared" si="84"/>
        <v>5.1912568306011764E-3</v>
      </c>
      <c r="D1365" s="1" t="str">
        <f t="shared" ca="1" si="85"/>
        <v>=B1365/B1364-1</v>
      </c>
      <c r="E1365" s="8">
        <f>VLOOKUP(A1365,'[1]S&amp;P500_DAILY'!$A$8:$B$1768,2,0)</f>
        <v>4464.05</v>
      </c>
      <c r="F1365" s="1">
        <f t="shared" si="86"/>
        <v>-1.0696312010077813E-3</v>
      </c>
      <c r="G1365" s="1" t="str">
        <f t="shared" ca="1" si="87"/>
        <v>=E1365/E1364-1</v>
      </c>
    </row>
    <row r="1366" spans="1:7">
      <c r="A1366" s="14">
        <v>45152</v>
      </c>
      <c r="B1366" s="11">
        <f>VLOOKUP(A1366,[1]HD_price_daily!$A$8:$B$1768,2,0)</f>
        <v>329.95</v>
      </c>
      <c r="C1366">
        <f t="shared" si="84"/>
        <v>-3.5033674609646903E-3</v>
      </c>
      <c r="D1366" s="1" t="str">
        <f t="shared" ca="1" si="85"/>
        <v>=B1366/B1365-1</v>
      </c>
      <c r="E1366" s="8">
        <f>VLOOKUP(A1366,'[1]S&amp;P500_DAILY'!$A$8:$B$1768,2,0)</f>
        <v>4489.72</v>
      </c>
      <c r="F1366" s="1">
        <f t="shared" si="86"/>
        <v>5.7503836202552616E-3</v>
      </c>
      <c r="G1366" s="1" t="str">
        <f t="shared" ca="1" si="87"/>
        <v>=E1366/E1365-1</v>
      </c>
    </row>
    <row r="1367" spans="1:7">
      <c r="A1367" s="14">
        <v>45153</v>
      </c>
      <c r="B1367" s="11">
        <f>VLOOKUP(A1367,[1]HD_price_daily!$A$8:$B$1768,2,0)</f>
        <v>332.14</v>
      </c>
      <c r="C1367">
        <f t="shared" si="84"/>
        <v>6.6373692983785482E-3</v>
      </c>
      <c r="D1367" s="1" t="str">
        <f t="shared" ca="1" si="85"/>
        <v>=B1367/B1366-1</v>
      </c>
      <c r="E1367" s="8">
        <f>VLOOKUP(A1367,'[1]S&amp;P500_DAILY'!$A$8:$B$1768,2,0)</f>
        <v>4437.8599999999997</v>
      </c>
      <c r="F1367" s="1">
        <f t="shared" si="86"/>
        <v>-1.1550831677699436E-2</v>
      </c>
      <c r="G1367" s="1" t="str">
        <f t="shared" ca="1" si="87"/>
        <v>=E1367/E1366-1</v>
      </c>
    </row>
    <row r="1368" spans="1:7">
      <c r="A1368" s="14">
        <v>45154</v>
      </c>
      <c r="B1368" s="11">
        <f>VLOOKUP(A1368,[1]HD_price_daily!$A$8:$B$1768,2,0)</f>
        <v>333.03</v>
      </c>
      <c r="C1368">
        <f t="shared" si="84"/>
        <v>2.6795929427350096E-3</v>
      </c>
      <c r="D1368" s="1" t="str">
        <f t="shared" ca="1" si="85"/>
        <v>=B1368/B1367-1</v>
      </c>
      <c r="E1368" s="8">
        <f>VLOOKUP(A1368,'[1]S&amp;P500_DAILY'!$A$8:$B$1768,2,0)</f>
        <v>4404.33</v>
      </c>
      <c r="F1368" s="1">
        <f t="shared" si="86"/>
        <v>-7.5554433893813E-3</v>
      </c>
      <c r="G1368" s="1" t="str">
        <f t="shared" ca="1" si="87"/>
        <v>=E1368/E1367-1</v>
      </c>
    </row>
    <row r="1369" spans="1:7">
      <c r="A1369" s="14">
        <v>45155</v>
      </c>
      <c r="B1369" s="11">
        <f>VLOOKUP(A1369,[1]HD_price_daily!$A$8:$B$1768,2,0)</f>
        <v>327.27999999999997</v>
      </c>
      <c r="C1369">
        <f t="shared" si="84"/>
        <v>-1.726571179773595E-2</v>
      </c>
      <c r="D1369" s="1" t="str">
        <f t="shared" ca="1" si="85"/>
        <v>=B1369/B1368-1</v>
      </c>
      <c r="E1369" s="8">
        <f>VLOOKUP(A1369,'[1]S&amp;P500_DAILY'!$A$8:$B$1768,2,0)</f>
        <v>4370.3599999999997</v>
      </c>
      <c r="F1369" s="1">
        <f t="shared" si="86"/>
        <v>-7.7128643857296009E-3</v>
      </c>
      <c r="G1369" s="1" t="str">
        <f t="shared" ca="1" si="87"/>
        <v>=E1369/E1368-1</v>
      </c>
    </row>
    <row r="1370" spans="1:7">
      <c r="A1370" s="14">
        <v>45156</v>
      </c>
      <c r="B1370" s="11">
        <f>VLOOKUP(A1370,[1]HD_price_daily!$A$8:$B$1768,2,0)</f>
        <v>327.37</v>
      </c>
      <c r="C1370">
        <f t="shared" si="84"/>
        <v>2.7499388902474386E-4</v>
      </c>
      <c r="D1370" s="1" t="str">
        <f t="shared" ca="1" si="85"/>
        <v>=B1370/B1369-1</v>
      </c>
      <c r="E1370" s="8">
        <f>VLOOKUP(A1370,'[1]S&amp;P500_DAILY'!$A$8:$B$1768,2,0)</f>
        <v>4369.71</v>
      </c>
      <c r="F1370" s="1">
        <f t="shared" si="86"/>
        <v>-1.4872916647590273E-4</v>
      </c>
      <c r="G1370" s="1" t="str">
        <f t="shared" ca="1" si="87"/>
        <v>=E1370/E1369-1</v>
      </c>
    </row>
    <row r="1371" spans="1:7">
      <c r="A1371" s="14">
        <v>45159</v>
      </c>
      <c r="B1371" s="11">
        <f>VLOOKUP(A1371,[1]HD_price_daily!$A$8:$B$1768,2,0)</f>
        <v>324.06</v>
      </c>
      <c r="C1371">
        <f t="shared" si="84"/>
        <v>-1.0110883709564145E-2</v>
      </c>
      <c r="D1371" s="1" t="str">
        <f t="shared" ca="1" si="85"/>
        <v>=B1371/B1370-1</v>
      </c>
      <c r="E1371" s="8">
        <f>VLOOKUP(A1371,'[1]S&amp;P500_DAILY'!$A$8:$B$1768,2,0)</f>
        <v>4399.7700000000004</v>
      </c>
      <c r="F1371" s="1">
        <f t="shared" si="86"/>
        <v>6.8791750482297687E-3</v>
      </c>
      <c r="G1371" s="1" t="str">
        <f t="shared" ca="1" si="87"/>
        <v>=E1371/E1370-1</v>
      </c>
    </row>
    <row r="1372" spans="1:7">
      <c r="A1372" s="14">
        <v>45160</v>
      </c>
      <c r="B1372" s="11">
        <f>VLOOKUP(A1372,[1]HD_price_daily!$A$8:$B$1768,2,0)</f>
        <v>324.48</v>
      </c>
      <c r="C1372">
        <f t="shared" si="84"/>
        <v>1.2960562858730373E-3</v>
      </c>
      <c r="D1372" s="1" t="str">
        <f t="shared" ca="1" si="85"/>
        <v>=B1372/B1371-1</v>
      </c>
      <c r="E1372" s="8">
        <f>VLOOKUP(A1372,'[1]S&amp;P500_DAILY'!$A$8:$B$1768,2,0)</f>
        <v>4387.55</v>
      </c>
      <c r="F1372" s="1">
        <f t="shared" si="86"/>
        <v>-2.7774179104816943E-3</v>
      </c>
      <c r="G1372" s="1" t="str">
        <f t="shared" ca="1" si="87"/>
        <v>=E1372/E1371-1</v>
      </c>
    </row>
    <row r="1373" spans="1:7">
      <c r="A1373" s="14">
        <v>45161</v>
      </c>
      <c r="B1373" s="11">
        <f>VLOOKUP(A1373,[1]HD_price_daily!$A$8:$B$1768,2,0)</f>
        <v>326.08999999999997</v>
      </c>
      <c r="C1373">
        <f t="shared" si="84"/>
        <v>4.9617850098617744E-3</v>
      </c>
      <c r="D1373" s="1" t="str">
        <f t="shared" ca="1" si="85"/>
        <v>=B1373/B1372-1</v>
      </c>
      <c r="E1373" s="8">
        <f>VLOOKUP(A1373,'[1]S&amp;P500_DAILY'!$A$8:$B$1768,2,0)</f>
        <v>4436.01</v>
      </c>
      <c r="F1373" s="1">
        <f t="shared" si="86"/>
        <v>1.1044888377340412E-2</v>
      </c>
      <c r="G1373" s="1" t="str">
        <f t="shared" ca="1" si="87"/>
        <v>=E1373/E1372-1</v>
      </c>
    </row>
    <row r="1374" spans="1:7">
      <c r="A1374" s="14">
        <v>45162</v>
      </c>
      <c r="B1374" s="11">
        <f>VLOOKUP(A1374,[1]HD_price_daily!$A$8:$B$1768,2,0)</f>
        <v>322.58999999999997</v>
      </c>
      <c r="C1374">
        <f t="shared" si="84"/>
        <v>-1.0733233156490551E-2</v>
      </c>
      <c r="D1374" s="1" t="str">
        <f t="shared" ca="1" si="85"/>
        <v>=B1374/B1373-1</v>
      </c>
      <c r="E1374" s="8">
        <f>VLOOKUP(A1374,'[1]S&amp;P500_DAILY'!$A$8:$B$1768,2,0)</f>
        <v>4376.3100000000004</v>
      </c>
      <c r="F1374" s="1">
        <f t="shared" si="86"/>
        <v>-1.3458039995401183E-2</v>
      </c>
      <c r="G1374" s="1" t="str">
        <f t="shared" ca="1" si="87"/>
        <v>=E1374/E1373-1</v>
      </c>
    </row>
    <row r="1375" spans="1:7">
      <c r="A1375" s="14">
        <v>45163</v>
      </c>
      <c r="B1375" s="11">
        <f>VLOOKUP(A1375,[1]HD_price_daily!$A$8:$B$1768,2,0)</f>
        <v>322.86</v>
      </c>
      <c r="C1375">
        <f t="shared" si="84"/>
        <v>8.3697572770402573E-4</v>
      </c>
      <c r="D1375" s="1" t="str">
        <f t="shared" ca="1" si="85"/>
        <v>=B1375/B1374-1</v>
      </c>
      <c r="E1375" s="8">
        <f>VLOOKUP(A1375,'[1]S&amp;P500_DAILY'!$A$8:$B$1768,2,0)</f>
        <v>4405.71</v>
      </c>
      <c r="F1375" s="1">
        <f t="shared" si="86"/>
        <v>6.7179884423178571E-3</v>
      </c>
      <c r="G1375" s="1" t="str">
        <f t="shared" ca="1" si="87"/>
        <v>=E1375/E1374-1</v>
      </c>
    </row>
    <row r="1376" spans="1:7">
      <c r="A1376" s="14">
        <v>45166</v>
      </c>
      <c r="B1376" s="11">
        <f>VLOOKUP(A1376,[1]HD_price_daily!$A$8:$B$1768,2,0)</f>
        <v>325.91000000000003</v>
      </c>
      <c r="C1376">
        <f t="shared" si="84"/>
        <v>9.4468190546985742E-3</v>
      </c>
      <c r="D1376" s="1" t="str">
        <f t="shared" ca="1" si="85"/>
        <v>=B1376/B1375-1</v>
      </c>
      <c r="E1376" s="8">
        <f>VLOOKUP(A1376,'[1]S&amp;P500_DAILY'!$A$8:$B$1768,2,0)</f>
        <v>4433.3100000000004</v>
      </c>
      <c r="F1376" s="1">
        <f t="shared" si="86"/>
        <v>6.2645975336552695E-3</v>
      </c>
      <c r="G1376" s="1" t="str">
        <f t="shared" ca="1" si="87"/>
        <v>=E1376/E1375-1</v>
      </c>
    </row>
    <row r="1377" spans="1:7">
      <c r="A1377" s="14">
        <v>45167</v>
      </c>
      <c r="B1377" s="11">
        <f>VLOOKUP(A1377,[1]HD_price_daily!$A$8:$B$1768,2,0)</f>
        <v>329.38</v>
      </c>
      <c r="C1377">
        <f t="shared" si="84"/>
        <v>1.0647111165659195E-2</v>
      </c>
      <c r="D1377" s="1" t="str">
        <f t="shared" ca="1" si="85"/>
        <v>=B1377/B1376-1</v>
      </c>
      <c r="E1377" s="8">
        <f>VLOOKUP(A1377,'[1]S&amp;P500_DAILY'!$A$8:$B$1768,2,0)</f>
        <v>4497.63</v>
      </c>
      <c r="F1377" s="1">
        <f t="shared" si="86"/>
        <v>1.4508347036412905E-2</v>
      </c>
      <c r="G1377" s="1" t="str">
        <f t="shared" ca="1" si="87"/>
        <v>=E1377/E1376-1</v>
      </c>
    </row>
    <row r="1378" spans="1:7">
      <c r="A1378" s="14">
        <v>45168</v>
      </c>
      <c r="B1378" s="11">
        <f>VLOOKUP(A1378,[1]HD_price_daily!$A$8:$B$1768,2,0)</f>
        <v>330.63</v>
      </c>
      <c r="C1378">
        <f t="shared" si="84"/>
        <v>3.7950088044205188E-3</v>
      </c>
      <c r="D1378" s="1" t="str">
        <f t="shared" ca="1" si="85"/>
        <v>=B1378/B1377-1</v>
      </c>
      <c r="E1378" s="8">
        <f>VLOOKUP(A1378,'[1]S&amp;P500_DAILY'!$A$8:$B$1768,2,0)</f>
        <v>4514.87</v>
      </c>
      <c r="F1378" s="1">
        <f t="shared" si="86"/>
        <v>3.8331298928546698E-3</v>
      </c>
      <c r="G1378" s="1" t="str">
        <f t="shared" ca="1" si="87"/>
        <v>=E1378/E1377-1</v>
      </c>
    </row>
    <row r="1379" spans="1:7">
      <c r="A1379" s="14">
        <v>45169</v>
      </c>
      <c r="B1379" s="11">
        <f>VLOOKUP(A1379,[1]HD_price_daily!$A$8:$B$1768,2,0)</f>
        <v>330.3</v>
      </c>
      <c r="C1379">
        <f t="shared" si="84"/>
        <v>-9.9809454677424192E-4</v>
      </c>
      <c r="D1379" s="1" t="str">
        <f t="shared" ca="1" si="85"/>
        <v>=B1379/B1378-1</v>
      </c>
      <c r="E1379" s="8">
        <f>VLOOKUP(A1379,'[1]S&amp;P500_DAILY'!$A$8:$B$1768,2,0)</f>
        <v>4507.66</v>
      </c>
      <c r="F1379" s="1">
        <f t="shared" si="86"/>
        <v>-1.5969452055097921E-3</v>
      </c>
      <c r="G1379" s="1" t="str">
        <f t="shared" ca="1" si="87"/>
        <v>=E1379/E1378-1</v>
      </c>
    </row>
    <row r="1380" spans="1:7">
      <c r="A1380" s="14">
        <v>45170</v>
      </c>
      <c r="B1380" s="11">
        <f>VLOOKUP(A1380,[1]HD_price_daily!$A$8:$B$1768,2,0)</f>
        <v>333.08</v>
      </c>
      <c r="C1380">
        <f t="shared" si="84"/>
        <v>8.416590977898819E-3</v>
      </c>
      <c r="D1380" s="1" t="str">
        <f t="shared" ca="1" si="85"/>
        <v>=B1380/B1379-1</v>
      </c>
      <c r="E1380" s="8">
        <f>VLOOKUP(A1380,'[1]S&amp;P500_DAILY'!$A$8:$B$1768,2,0)</f>
        <v>4515.7700000000004</v>
      </c>
      <c r="F1380" s="1">
        <f t="shared" si="86"/>
        <v>1.7991596526802933E-3</v>
      </c>
      <c r="G1380" s="1" t="str">
        <f t="shared" ca="1" si="87"/>
        <v>=E1380/E1379-1</v>
      </c>
    </row>
    <row r="1381" spans="1:7">
      <c r="A1381" s="14">
        <v>45174</v>
      </c>
      <c r="B1381" s="11">
        <f>VLOOKUP(A1381,[1]HD_price_daily!$A$8:$B$1768,2,0)</f>
        <v>327.78</v>
      </c>
      <c r="C1381">
        <f t="shared" si="84"/>
        <v>-1.5912093190825094E-2</v>
      </c>
      <c r="D1381" s="1" t="str">
        <f t="shared" ca="1" si="85"/>
        <v>=B1381/B1380-1</v>
      </c>
      <c r="E1381" s="8">
        <f>VLOOKUP(A1381,'[1]S&amp;P500_DAILY'!$A$8:$B$1768,2,0)</f>
        <v>4496.83</v>
      </c>
      <c r="F1381" s="1">
        <f t="shared" si="86"/>
        <v>-4.1941905810084501E-3</v>
      </c>
      <c r="G1381" s="1" t="str">
        <f t="shared" ca="1" si="87"/>
        <v>=E1381/E1380-1</v>
      </c>
    </row>
    <row r="1382" spans="1:7">
      <c r="A1382" s="14">
        <v>45175</v>
      </c>
      <c r="B1382" s="11">
        <f>VLOOKUP(A1382,[1]HD_price_daily!$A$8:$B$1768,2,0)</f>
        <v>326</v>
      </c>
      <c r="C1382">
        <f t="shared" si="84"/>
        <v>-5.4304716578191803E-3</v>
      </c>
      <c r="D1382" s="1" t="str">
        <f t="shared" ca="1" si="85"/>
        <v>=B1382/B1381-1</v>
      </c>
      <c r="E1382" s="8">
        <f>VLOOKUP(A1382,'[1]S&amp;P500_DAILY'!$A$8:$B$1768,2,0)</f>
        <v>4465.4799999999996</v>
      </c>
      <c r="F1382" s="1">
        <f t="shared" si="86"/>
        <v>-6.9715777558858605E-3</v>
      </c>
      <c r="G1382" s="1" t="str">
        <f t="shared" ca="1" si="87"/>
        <v>=E1382/E1381-1</v>
      </c>
    </row>
    <row r="1383" spans="1:7">
      <c r="A1383" s="14">
        <v>45176</v>
      </c>
      <c r="B1383" s="11">
        <f>VLOOKUP(A1383,[1]HD_price_daily!$A$8:$B$1768,2,0)</f>
        <v>328.42</v>
      </c>
      <c r="C1383">
        <f t="shared" si="84"/>
        <v>7.4233128834355622E-3</v>
      </c>
      <c r="D1383" s="1" t="str">
        <f t="shared" ca="1" si="85"/>
        <v>=B1383/B1382-1</v>
      </c>
      <c r="E1383" s="8">
        <f>VLOOKUP(A1383,'[1]S&amp;P500_DAILY'!$A$8:$B$1768,2,0)</f>
        <v>4451.1400000000003</v>
      </c>
      <c r="F1383" s="1">
        <f t="shared" si="86"/>
        <v>-3.2113009127796577E-3</v>
      </c>
      <c r="G1383" s="1" t="str">
        <f t="shared" ca="1" si="87"/>
        <v>=E1383/E1382-1</v>
      </c>
    </row>
    <row r="1384" spans="1:7">
      <c r="A1384" s="14">
        <v>45177</v>
      </c>
      <c r="B1384" s="11">
        <f>VLOOKUP(A1384,[1]HD_price_daily!$A$8:$B$1768,2,0)</f>
        <v>328.71</v>
      </c>
      <c r="C1384">
        <f t="shared" si="84"/>
        <v>8.8301565069115462E-4</v>
      </c>
      <c r="D1384" s="1" t="str">
        <f t="shared" ca="1" si="85"/>
        <v>=B1384/B1383-1</v>
      </c>
      <c r="E1384" s="8">
        <f>VLOOKUP(A1384,'[1]S&amp;P500_DAILY'!$A$8:$B$1768,2,0)</f>
        <v>4457.49</v>
      </c>
      <c r="F1384" s="1">
        <f t="shared" si="86"/>
        <v>1.4266008258556617E-3</v>
      </c>
      <c r="G1384" s="1" t="str">
        <f t="shared" ca="1" si="87"/>
        <v>=E1384/E1383-1</v>
      </c>
    </row>
    <row r="1385" spans="1:7">
      <c r="A1385" s="14">
        <v>45180</v>
      </c>
      <c r="B1385" s="11">
        <f>VLOOKUP(A1385,[1]HD_price_daily!$A$8:$B$1768,2,0)</f>
        <v>328.37</v>
      </c>
      <c r="C1385">
        <f t="shared" si="84"/>
        <v>-1.0343463843508482E-3</v>
      </c>
      <c r="D1385" s="1" t="str">
        <f t="shared" ca="1" si="85"/>
        <v>=B1385/B1384-1</v>
      </c>
      <c r="E1385" s="8">
        <f>VLOOKUP(A1385,'[1]S&amp;P500_DAILY'!$A$8:$B$1768,2,0)</f>
        <v>4487.46</v>
      </c>
      <c r="F1385" s="1">
        <f t="shared" si="86"/>
        <v>6.7235148031741243E-3</v>
      </c>
      <c r="G1385" s="1" t="str">
        <f t="shared" ca="1" si="87"/>
        <v>=E1385/E1384-1</v>
      </c>
    </row>
    <row r="1386" spans="1:7">
      <c r="A1386" s="14">
        <v>45181</v>
      </c>
      <c r="B1386" s="11">
        <f>VLOOKUP(A1386,[1]HD_price_daily!$A$8:$B$1768,2,0)</f>
        <v>326.27999999999997</v>
      </c>
      <c r="C1386">
        <f t="shared" si="84"/>
        <v>-6.3647714468435534E-3</v>
      </c>
      <c r="D1386" s="1" t="str">
        <f t="shared" ca="1" si="85"/>
        <v>=B1386/B1385-1</v>
      </c>
      <c r="E1386" s="8">
        <f>VLOOKUP(A1386,'[1]S&amp;P500_DAILY'!$A$8:$B$1768,2,0)</f>
        <v>4461.8999999999996</v>
      </c>
      <c r="F1386" s="1">
        <f t="shared" si="86"/>
        <v>-5.6958724980279429E-3</v>
      </c>
      <c r="G1386" s="1" t="str">
        <f t="shared" ca="1" si="87"/>
        <v>=E1386/E1385-1</v>
      </c>
    </row>
    <row r="1387" spans="1:7">
      <c r="A1387" s="14">
        <v>45182</v>
      </c>
      <c r="B1387" s="11">
        <f>VLOOKUP(A1387,[1]HD_price_daily!$A$8:$B$1768,2,0)</f>
        <v>325.88</v>
      </c>
      <c r="C1387">
        <f t="shared" si="84"/>
        <v>-1.2259409096481155E-3</v>
      </c>
      <c r="D1387" s="1" t="str">
        <f t="shared" ca="1" si="85"/>
        <v>=B1387/B1386-1</v>
      </c>
      <c r="E1387" s="8">
        <f>VLOOKUP(A1387,'[1]S&amp;P500_DAILY'!$A$8:$B$1768,2,0)</f>
        <v>4467.4399999999996</v>
      </c>
      <c r="F1387" s="1">
        <f t="shared" si="86"/>
        <v>1.2416235236110129E-3</v>
      </c>
      <c r="G1387" s="1" t="str">
        <f t="shared" ca="1" si="87"/>
        <v>=E1387/E1386-1</v>
      </c>
    </row>
    <row r="1388" spans="1:7">
      <c r="A1388" s="14">
        <v>45183</v>
      </c>
      <c r="B1388" s="11">
        <f>VLOOKUP(A1388,[1]HD_price_daily!$A$8:$B$1768,2,0)</f>
        <v>329.63</v>
      </c>
      <c r="C1388">
        <f t="shared" si="84"/>
        <v>1.1507303301828919E-2</v>
      </c>
      <c r="D1388" s="1" t="str">
        <f t="shared" ca="1" si="85"/>
        <v>=B1388/B1387-1</v>
      </c>
      <c r="E1388" s="8">
        <f>VLOOKUP(A1388,'[1]S&amp;P500_DAILY'!$A$8:$B$1768,2,0)</f>
        <v>4505.1000000000004</v>
      </c>
      <c r="F1388" s="1">
        <f t="shared" si="86"/>
        <v>8.4298837813157057E-3</v>
      </c>
      <c r="G1388" s="1" t="str">
        <f t="shared" ca="1" si="87"/>
        <v>=E1388/E1387-1</v>
      </c>
    </row>
    <row r="1389" spans="1:7">
      <c r="A1389" s="14">
        <v>45184</v>
      </c>
      <c r="B1389" s="11">
        <f>VLOOKUP(A1389,[1]HD_price_daily!$A$8:$B$1768,2,0)</f>
        <v>321.39999999999998</v>
      </c>
      <c r="C1389">
        <f t="shared" si="84"/>
        <v>-2.4967387677092501E-2</v>
      </c>
      <c r="D1389" s="1" t="str">
        <f t="shared" ca="1" si="85"/>
        <v>=B1389/B1388-1</v>
      </c>
      <c r="E1389" s="8">
        <f>VLOOKUP(A1389,'[1]S&amp;P500_DAILY'!$A$8:$B$1768,2,0)</f>
        <v>4450.32</v>
      </c>
      <c r="F1389" s="1">
        <f t="shared" si="86"/>
        <v>-1.2159552507158722E-2</v>
      </c>
      <c r="G1389" s="1" t="str">
        <f t="shared" ca="1" si="87"/>
        <v>=E1389/E1388-1</v>
      </c>
    </row>
    <row r="1390" spans="1:7">
      <c r="A1390" s="14">
        <v>45187</v>
      </c>
      <c r="B1390" s="11">
        <f>VLOOKUP(A1390,[1]HD_price_daily!$A$8:$B$1768,2,0)</f>
        <v>317.26</v>
      </c>
      <c r="C1390">
        <f t="shared" si="84"/>
        <v>-1.2881144990665838E-2</v>
      </c>
      <c r="D1390" s="1" t="str">
        <f t="shared" ca="1" si="85"/>
        <v>=B1390/B1389-1</v>
      </c>
      <c r="E1390" s="8">
        <f>VLOOKUP(A1390,'[1]S&amp;P500_DAILY'!$A$8:$B$1768,2,0)</f>
        <v>4453.53</v>
      </c>
      <c r="F1390" s="1">
        <f t="shared" si="86"/>
        <v>7.2129644609830734E-4</v>
      </c>
      <c r="G1390" s="1" t="str">
        <f t="shared" ca="1" si="87"/>
        <v>=E1390/E1389-1</v>
      </c>
    </row>
    <row r="1391" spans="1:7">
      <c r="A1391" s="14">
        <v>45188</v>
      </c>
      <c r="B1391" s="11">
        <f>VLOOKUP(A1391,[1]HD_price_daily!$A$8:$B$1768,2,0)</f>
        <v>314.61</v>
      </c>
      <c r="C1391">
        <f t="shared" si="84"/>
        <v>-8.3527705982474609E-3</v>
      </c>
      <c r="D1391" s="1" t="str">
        <f t="shared" ca="1" si="85"/>
        <v>=B1391/B1390-1</v>
      </c>
      <c r="E1391" s="8">
        <f>VLOOKUP(A1391,'[1]S&amp;P500_DAILY'!$A$8:$B$1768,2,0)</f>
        <v>4443.95</v>
      </c>
      <c r="F1391" s="1">
        <f t="shared" si="86"/>
        <v>-2.1511026084926055E-3</v>
      </c>
      <c r="G1391" s="1" t="str">
        <f t="shared" ca="1" si="87"/>
        <v>=E1391/E1390-1</v>
      </c>
    </row>
    <row r="1392" spans="1:7">
      <c r="A1392" s="14">
        <v>45189</v>
      </c>
      <c r="B1392" s="11">
        <f>VLOOKUP(A1392,[1]HD_price_daily!$A$8:$B$1768,2,0)</f>
        <v>310.86</v>
      </c>
      <c r="C1392">
        <f t="shared" si="84"/>
        <v>-1.1919519404977597E-2</v>
      </c>
      <c r="D1392" s="1" t="str">
        <f t="shared" ca="1" si="85"/>
        <v>=B1392/B1391-1</v>
      </c>
      <c r="E1392" s="8">
        <f>VLOOKUP(A1392,'[1]S&amp;P500_DAILY'!$A$8:$B$1768,2,0)</f>
        <v>4402.2</v>
      </c>
      <c r="F1392" s="1">
        <f t="shared" si="86"/>
        <v>-9.3947951709627553E-3</v>
      </c>
      <c r="G1392" s="1" t="str">
        <f t="shared" ca="1" si="87"/>
        <v>=E1392/E1391-1</v>
      </c>
    </row>
    <row r="1393" spans="1:7">
      <c r="A1393" s="14">
        <v>45190</v>
      </c>
      <c r="B1393" s="11">
        <f>VLOOKUP(A1393,[1]HD_price_daily!$A$8:$B$1768,2,0)</f>
        <v>306.76</v>
      </c>
      <c r="C1393">
        <f t="shared" si="84"/>
        <v>-1.3189217010873167E-2</v>
      </c>
      <c r="D1393" s="1" t="str">
        <f t="shared" ca="1" si="85"/>
        <v>=B1393/B1392-1</v>
      </c>
      <c r="E1393" s="8">
        <f>VLOOKUP(A1393,'[1]S&amp;P500_DAILY'!$A$8:$B$1768,2,0)</f>
        <v>4330</v>
      </c>
      <c r="F1393" s="1">
        <f t="shared" si="86"/>
        <v>-1.6400890463858953E-2</v>
      </c>
      <c r="G1393" s="1" t="str">
        <f t="shared" ca="1" si="87"/>
        <v>=E1393/E1392-1</v>
      </c>
    </row>
    <row r="1394" spans="1:7">
      <c r="A1394" s="14">
        <v>45191</v>
      </c>
      <c r="B1394" s="11">
        <f>VLOOKUP(A1394,[1]HD_price_daily!$A$8:$B$1768,2,0)</f>
        <v>305.73</v>
      </c>
      <c r="C1394">
        <f t="shared" si="84"/>
        <v>-3.3576737514668942E-3</v>
      </c>
      <c r="D1394" s="1" t="str">
        <f t="shared" ca="1" si="85"/>
        <v>=B1394/B1393-1</v>
      </c>
      <c r="E1394" s="8">
        <f>VLOOKUP(A1394,'[1]S&amp;P500_DAILY'!$A$8:$B$1768,2,0)</f>
        <v>4320.0600000000004</v>
      </c>
      <c r="F1394" s="1">
        <f t="shared" si="86"/>
        <v>-2.2956120092377796E-3</v>
      </c>
      <c r="G1394" s="1" t="str">
        <f t="shared" ca="1" si="87"/>
        <v>=E1394/E1393-1</v>
      </c>
    </row>
    <row r="1395" spans="1:7">
      <c r="A1395" s="14">
        <v>45194</v>
      </c>
      <c r="B1395" s="11">
        <f>VLOOKUP(A1395,[1]HD_price_daily!$A$8:$B$1768,2,0)</f>
        <v>306.49</v>
      </c>
      <c r="C1395">
        <f t="shared" si="84"/>
        <v>2.4858535308931451E-3</v>
      </c>
      <c r="D1395" s="1" t="str">
        <f t="shared" ca="1" si="85"/>
        <v>=B1395/B1394-1</v>
      </c>
      <c r="E1395" s="8">
        <f>VLOOKUP(A1395,'[1]S&amp;P500_DAILY'!$A$8:$B$1768,2,0)</f>
        <v>4337.4399999999996</v>
      </c>
      <c r="F1395" s="1">
        <f t="shared" si="86"/>
        <v>4.0230922718664797E-3</v>
      </c>
      <c r="G1395" s="1" t="str">
        <f t="shared" ca="1" si="87"/>
        <v>=E1395/E1394-1</v>
      </c>
    </row>
    <row r="1396" spans="1:7">
      <c r="A1396" s="14">
        <v>45195</v>
      </c>
      <c r="B1396" s="11">
        <f>VLOOKUP(A1396,[1]HD_price_daily!$A$8:$B$1768,2,0)</f>
        <v>302.54000000000002</v>
      </c>
      <c r="C1396">
        <f t="shared" si="84"/>
        <v>-1.2887859310254823E-2</v>
      </c>
      <c r="D1396" s="1" t="str">
        <f t="shared" ca="1" si="85"/>
        <v>=B1396/B1395-1</v>
      </c>
      <c r="E1396" s="8">
        <f>VLOOKUP(A1396,'[1]S&amp;P500_DAILY'!$A$8:$B$1768,2,0)</f>
        <v>4273.53</v>
      </c>
      <c r="F1396" s="1">
        <f t="shared" si="86"/>
        <v>-1.473449776826885E-2</v>
      </c>
      <c r="G1396" s="1" t="str">
        <f t="shared" ca="1" si="87"/>
        <v>=E1396/E1395-1</v>
      </c>
    </row>
    <row r="1397" spans="1:7">
      <c r="A1397" s="14">
        <v>45196</v>
      </c>
      <c r="B1397" s="11">
        <f>VLOOKUP(A1397,[1]HD_price_daily!$A$8:$B$1768,2,0)</f>
        <v>301.82</v>
      </c>
      <c r="C1397">
        <f t="shared" si="84"/>
        <v>-2.3798505982680629E-3</v>
      </c>
      <c r="D1397" s="1" t="str">
        <f t="shared" ca="1" si="85"/>
        <v>=B1397/B1396-1</v>
      </c>
      <c r="E1397" s="8">
        <f>VLOOKUP(A1397,'[1]S&amp;P500_DAILY'!$A$8:$B$1768,2,0)</f>
        <v>4274.51</v>
      </c>
      <c r="F1397" s="1">
        <f t="shared" si="86"/>
        <v>2.2931861950192811E-4</v>
      </c>
      <c r="G1397" s="1" t="str">
        <f t="shared" ca="1" si="87"/>
        <v>=E1397/E1396-1</v>
      </c>
    </row>
    <row r="1398" spans="1:7">
      <c r="A1398" s="14">
        <v>45197</v>
      </c>
      <c r="B1398" s="11">
        <f>VLOOKUP(A1398,[1]HD_price_daily!$A$8:$B$1768,2,0)</f>
        <v>303.49</v>
      </c>
      <c r="C1398">
        <f t="shared" si="84"/>
        <v>5.5330991981976663E-3</v>
      </c>
      <c r="D1398" s="1" t="str">
        <f t="shared" ca="1" si="85"/>
        <v>=B1398/B1397-1</v>
      </c>
      <c r="E1398" s="8">
        <f>VLOOKUP(A1398,'[1]S&amp;P500_DAILY'!$A$8:$B$1768,2,0)</f>
        <v>4299.7</v>
      </c>
      <c r="F1398" s="1">
        <f t="shared" si="86"/>
        <v>5.8930731241708667E-3</v>
      </c>
      <c r="G1398" s="1" t="str">
        <f t="shared" ca="1" si="87"/>
        <v>=E1398/E1397-1</v>
      </c>
    </row>
    <row r="1399" spans="1:7">
      <c r="A1399" s="14">
        <v>45198</v>
      </c>
      <c r="B1399" s="11">
        <f>VLOOKUP(A1399,[1]HD_price_daily!$A$8:$B$1768,2,0)</f>
        <v>302.16000000000003</v>
      </c>
      <c r="C1399">
        <f t="shared" si="84"/>
        <v>-4.3823519720583848E-3</v>
      </c>
      <c r="D1399" s="1" t="str">
        <f t="shared" ca="1" si="85"/>
        <v>=B1399/B1398-1</v>
      </c>
      <c r="E1399" s="8">
        <f>VLOOKUP(A1399,'[1]S&amp;P500_DAILY'!$A$8:$B$1768,2,0)</f>
        <v>4288.05</v>
      </c>
      <c r="F1399" s="1">
        <f t="shared" si="86"/>
        <v>-2.7094913598622039E-3</v>
      </c>
      <c r="G1399" s="1" t="str">
        <f t="shared" ca="1" si="87"/>
        <v>=E1399/E1398-1</v>
      </c>
    </row>
    <row r="1400" spans="1:7">
      <c r="A1400" s="14">
        <v>45201</v>
      </c>
      <c r="B1400" s="11">
        <f>VLOOKUP(A1400,[1]HD_price_daily!$A$8:$B$1768,2,0)</f>
        <v>299.83</v>
      </c>
      <c r="C1400">
        <f t="shared" si="84"/>
        <v>-7.7111464124968165E-3</v>
      </c>
      <c r="D1400" s="1" t="str">
        <f t="shared" ca="1" si="85"/>
        <v>=B1400/B1399-1</v>
      </c>
      <c r="E1400" s="8">
        <f>VLOOKUP(A1400,'[1]S&amp;P500_DAILY'!$A$8:$B$1768,2,0)</f>
        <v>4288.3900000000003</v>
      </c>
      <c r="F1400" s="1">
        <f t="shared" si="86"/>
        <v>7.9290120217789806E-5</v>
      </c>
      <c r="G1400" s="1" t="str">
        <f t="shared" ca="1" si="87"/>
        <v>=E1400/E1399-1</v>
      </c>
    </row>
    <row r="1401" spans="1:7">
      <c r="A1401" s="14">
        <v>45202</v>
      </c>
      <c r="B1401" s="11">
        <f>VLOOKUP(A1401,[1]HD_price_daily!$A$8:$B$1768,2,0)</f>
        <v>291.94</v>
      </c>
      <c r="C1401">
        <f t="shared" si="84"/>
        <v>-2.6314911783343886E-2</v>
      </c>
      <c r="D1401" s="1" t="str">
        <f t="shared" ca="1" si="85"/>
        <v>=B1401/B1400-1</v>
      </c>
      <c r="E1401" s="8">
        <f>VLOOKUP(A1401,'[1]S&amp;P500_DAILY'!$A$8:$B$1768,2,0)</f>
        <v>4229.45</v>
      </c>
      <c r="F1401" s="1">
        <f t="shared" si="86"/>
        <v>-1.374408577578079E-2</v>
      </c>
      <c r="G1401" s="1" t="str">
        <f t="shared" ca="1" si="87"/>
        <v>=E1401/E1400-1</v>
      </c>
    </row>
    <row r="1402" spans="1:7">
      <c r="A1402" s="14">
        <v>45203</v>
      </c>
      <c r="B1402" s="11">
        <f>VLOOKUP(A1402,[1]HD_price_daily!$A$8:$B$1768,2,0)</f>
        <v>292.39</v>
      </c>
      <c r="C1402">
        <f t="shared" si="84"/>
        <v>1.5414126190311794E-3</v>
      </c>
      <c r="D1402" s="1" t="str">
        <f t="shared" ca="1" si="85"/>
        <v>=B1402/B1401-1</v>
      </c>
      <c r="E1402" s="8">
        <f>VLOOKUP(A1402,'[1]S&amp;P500_DAILY'!$A$8:$B$1768,2,0)</f>
        <v>4263.75</v>
      </c>
      <c r="F1402" s="1">
        <f t="shared" si="86"/>
        <v>8.1098015108347354E-3</v>
      </c>
      <c r="G1402" s="1" t="str">
        <f t="shared" ca="1" si="87"/>
        <v>=E1402/E1401-1</v>
      </c>
    </row>
    <row r="1403" spans="1:7">
      <c r="A1403" s="14">
        <v>45204</v>
      </c>
      <c r="B1403" s="11">
        <f>VLOOKUP(A1403,[1]HD_price_daily!$A$8:$B$1768,2,0)</f>
        <v>291.7</v>
      </c>
      <c r="C1403">
        <f t="shared" si="84"/>
        <v>-2.3598618283798833E-3</v>
      </c>
      <c r="D1403" s="1" t="str">
        <f t="shared" ca="1" si="85"/>
        <v>=B1403/B1402-1</v>
      </c>
      <c r="E1403" s="8">
        <f>VLOOKUP(A1403,'[1]S&amp;P500_DAILY'!$A$8:$B$1768,2,0)</f>
        <v>4258.1899999999996</v>
      </c>
      <c r="F1403" s="1">
        <f t="shared" si="86"/>
        <v>-1.3040164174730196E-3</v>
      </c>
      <c r="G1403" s="1" t="str">
        <f t="shared" ca="1" si="87"/>
        <v>=E1403/E1402-1</v>
      </c>
    </row>
    <row r="1404" spans="1:7">
      <c r="A1404" s="14">
        <v>45205</v>
      </c>
      <c r="B1404" s="11">
        <f>VLOOKUP(A1404,[1]HD_price_daily!$A$8:$B$1768,2,0)</f>
        <v>292.82</v>
      </c>
      <c r="C1404">
        <f t="shared" si="84"/>
        <v>3.8395611930064355E-3</v>
      </c>
      <c r="D1404" s="1" t="str">
        <f t="shared" ca="1" si="85"/>
        <v>=B1404/B1403-1</v>
      </c>
      <c r="E1404" s="8">
        <f>VLOOKUP(A1404,'[1]S&amp;P500_DAILY'!$A$8:$B$1768,2,0)</f>
        <v>4308.5</v>
      </c>
      <c r="F1404" s="1">
        <f t="shared" si="86"/>
        <v>1.1814879091820885E-2</v>
      </c>
      <c r="G1404" s="1" t="str">
        <f t="shared" ca="1" si="87"/>
        <v>=E1404/E1403-1</v>
      </c>
    </row>
    <row r="1405" spans="1:7">
      <c r="A1405" s="14">
        <v>45208</v>
      </c>
      <c r="B1405" s="11">
        <f>VLOOKUP(A1405,[1]HD_price_daily!$A$8:$B$1768,2,0)</f>
        <v>295.36</v>
      </c>
      <c r="C1405">
        <f t="shared" si="84"/>
        <v>8.6742708831364368E-3</v>
      </c>
      <c r="D1405" s="1" t="str">
        <f t="shared" ca="1" si="85"/>
        <v>=B1405/B1404-1</v>
      </c>
      <c r="E1405" s="8">
        <f>VLOOKUP(A1405,'[1]S&amp;P500_DAILY'!$A$8:$B$1768,2,0)</f>
        <v>4335.66</v>
      </c>
      <c r="F1405" s="1">
        <f t="shared" si="86"/>
        <v>6.3038180341186134E-3</v>
      </c>
      <c r="G1405" s="1" t="str">
        <f t="shared" ca="1" si="87"/>
        <v>=E1405/E1404-1</v>
      </c>
    </row>
    <row r="1406" spans="1:7">
      <c r="A1406" s="14">
        <v>45209</v>
      </c>
      <c r="B1406" s="11">
        <f>VLOOKUP(A1406,[1]HD_price_daily!$A$8:$B$1768,2,0)</f>
        <v>299.22000000000003</v>
      </c>
      <c r="C1406">
        <f t="shared" si="84"/>
        <v>1.3068797399783394E-2</v>
      </c>
      <c r="D1406" s="1" t="str">
        <f t="shared" ca="1" si="85"/>
        <v>=B1406/B1405-1</v>
      </c>
      <c r="E1406" s="8">
        <f>VLOOKUP(A1406,'[1]S&amp;P500_DAILY'!$A$8:$B$1768,2,0)</f>
        <v>4358.24</v>
      </c>
      <c r="F1406" s="1">
        <f t="shared" si="86"/>
        <v>5.2079729499083793E-3</v>
      </c>
      <c r="G1406" s="1" t="str">
        <f t="shared" ca="1" si="87"/>
        <v>=E1406/E1405-1</v>
      </c>
    </row>
    <row r="1407" spans="1:7">
      <c r="A1407" s="14">
        <v>45210</v>
      </c>
      <c r="B1407" s="11">
        <f>VLOOKUP(A1407,[1]HD_price_daily!$A$8:$B$1768,2,0)</f>
        <v>298.05</v>
      </c>
      <c r="C1407">
        <f t="shared" si="84"/>
        <v>-3.9101664327251262E-3</v>
      </c>
      <c r="D1407" s="1" t="str">
        <f t="shared" ca="1" si="85"/>
        <v>=B1407/B1406-1</v>
      </c>
      <c r="E1407" s="8">
        <f>VLOOKUP(A1407,'[1]S&amp;P500_DAILY'!$A$8:$B$1768,2,0)</f>
        <v>4376.95</v>
      </c>
      <c r="F1407" s="1">
        <f t="shared" si="86"/>
        <v>4.2930173648079162E-3</v>
      </c>
      <c r="G1407" s="1" t="str">
        <f t="shared" ca="1" si="87"/>
        <v>=E1407/E1406-1</v>
      </c>
    </row>
    <row r="1408" spans="1:7">
      <c r="A1408" s="14">
        <v>45211</v>
      </c>
      <c r="B1408" s="11">
        <f>VLOOKUP(A1408,[1]HD_price_daily!$A$8:$B$1768,2,0)</f>
        <v>293.02</v>
      </c>
      <c r="C1408">
        <f t="shared" si="84"/>
        <v>-1.6876363026337993E-2</v>
      </c>
      <c r="D1408" s="1" t="str">
        <f t="shared" ca="1" si="85"/>
        <v>=B1408/B1407-1</v>
      </c>
      <c r="E1408" s="8">
        <f>VLOOKUP(A1408,'[1]S&amp;P500_DAILY'!$A$8:$B$1768,2,0)</f>
        <v>4349.6099999999997</v>
      </c>
      <c r="F1408" s="1">
        <f t="shared" si="86"/>
        <v>-6.2463587658072584E-3</v>
      </c>
      <c r="G1408" s="1" t="str">
        <f t="shared" ca="1" si="87"/>
        <v>=E1408/E1407-1</v>
      </c>
    </row>
    <row r="1409" spans="1:7">
      <c r="A1409" s="14">
        <v>45212</v>
      </c>
      <c r="B1409" s="11">
        <f>VLOOKUP(A1409,[1]HD_price_daily!$A$8:$B$1768,2,0)</f>
        <v>291.92</v>
      </c>
      <c r="C1409">
        <f t="shared" si="84"/>
        <v>-3.7540099651899306E-3</v>
      </c>
      <c r="D1409" s="1" t="str">
        <f t="shared" ca="1" si="85"/>
        <v>=B1409/B1408-1</v>
      </c>
      <c r="E1409" s="8">
        <f>VLOOKUP(A1409,'[1]S&amp;P500_DAILY'!$A$8:$B$1768,2,0)</f>
        <v>4327.78</v>
      </c>
      <c r="F1409" s="1">
        <f t="shared" si="86"/>
        <v>-5.0188407696322157E-3</v>
      </c>
      <c r="G1409" s="1" t="str">
        <f t="shared" ca="1" si="87"/>
        <v>=E1409/E1408-1</v>
      </c>
    </row>
    <row r="1410" spans="1:7">
      <c r="A1410" s="14">
        <v>45215</v>
      </c>
      <c r="B1410" s="11">
        <f>VLOOKUP(A1410,[1]HD_price_daily!$A$8:$B$1768,2,0)</f>
        <v>297.33</v>
      </c>
      <c r="C1410">
        <f t="shared" si="84"/>
        <v>1.8532474650589048E-2</v>
      </c>
      <c r="D1410" s="1" t="str">
        <f t="shared" ca="1" si="85"/>
        <v>=B1410/B1409-1</v>
      </c>
      <c r="E1410" s="8">
        <f>VLOOKUP(A1410,'[1]S&amp;P500_DAILY'!$A$8:$B$1768,2,0)</f>
        <v>4373.63</v>
      </c>
      <c r="F1410" s="1">
        <f t="shared" si="86"/>
        <v>1.0594346293018697E-2</v>
      </c>
      <c r="G1410" s="1" t="str">
        <f t="shared" ca="1" si="87"/>
        <v>=E1410/E1409-1</v>
      </c>
    </row>
    <row r="1411" spans="1:7">
      <c r="A1411" s="14">
        <v>45216</v>
      </c>
      <c r="B1411" s="11">
        <f>VLOOKUP(A1411,[1]HD_price_daily!$A$8:$B$1768,2,0)</f>
        <v>295.94</v>
      </c>
      <c r="C1411">
        <f t="shared" si="84"/>
        <v>-4.6749403020213132E-3</v>
      </c>
      <c r="D1411" s="1" t="str">
        <f t="shared" ca="1" si="85"/>
        <v>=B1411/B1410-1</v>
      </c>
      <c r="E1411" s="8">
        <f>VLOOKUP(A1411,'[1]S&amp;P500_DAILY'!$A$8:$B$1768,2,0)</f>
        <v>4373.2</v>
      </c>
      <c r="F1411" s="1">
        <f t="shared" si="86"/>
        <v>-9.831650139591197E-5</v>
      </c>
      <c r="G1411" s="1" t="str">
        <f t="shared" ca="1" si="87"/>
        <v>=E1411/E1410-1</v>
      </c>
    </row>
    <row r="1412" spans="1:7">
      <c r="A1412" s="14">
        <v>45217</v>
      </c>
      <c r="B1412" s="11">
        <f>VLOOKUP(A1412,[1]HD_price_daily!$A$8:$B$1768,2,0)</f>
        <v>290.24</v>
      </c>
      <c r="C1412">
        <f t="shared" ref="C1412:C1475" si="88">B1412/B1411-1</f>
        <v>-1.9260660944786068E-2</v>
      </c>
      <c r="D1412" s="1" t="str">
        <f t="shared" ref="D1412:D1475" ca="1" si="89">_xlfn.FORMULATEXT(C1412)</f>
        <v>=B1412/B1411-1</v>
      </c>
      <c r="E1412" s="8">
        <f>VLOOKUP(A1412,'[1]S&amp;P500_DAILY'!$A$8:$B$1768,2,0)</f>
        <v>4314.6000000000004</v>
      </c>
      <c r="F1412" s="1">
        <f t="shared" ref="F1412:F1475" si="90">E1412/E1411-1</f>
        <v>-1.3399798774352711E-2</v>
      </c>
      <c r="G1412" s="1" t="str">
        <f t="shared" ref="G1412:G1475" ca="1" si="91">_xlfn.FORMULATEXT(F1412)</f>
        <v>=E1412/E1411-1</v>
      </c>
    </row>
    <row r="1413" spans="1:7">
      <c r="A1413" s="14">
        <v>45218</v>
      </c>
      <c r="B1413" s="11">
        <f>VLOOKUP(A1413,[1]HD_price_daily!$A$8:$B$1768,2,0)</f>
        <v>286.77</v>
      </c>
      <c r="C1413">
        <f t="shared" si="88"/>
        <v>-1.1955622932745436E-2</v>
      </c>
      <c r="D1413" s="1" t="str">
        <f t="shared" ca="1" si="89"/>
        <v>=B1413/B1412-1</v>
      </c>
      <c r="E1413" s="8">
        <f>VLOOKUP(A1413,'[1]S&amp;P500_DAILY'!$A$8:$B$1768,2,0)</f>
        <v>4278</v>
      </c>
      <c r="F1413" s="1">
        <f t="shared" si="90"/>
        <v>-8.4828257544152796E-3</v>
      </c>
      <c r="G1413" s="1" t="str">
        <f t="shared" ca="1" si="91"/>
        <v>=E1413/E1412-1</v>
      </c>
    </row>
    <row r="1414" spans="1:7">
      <c r="A1414" s="14">
        <v>45219</v>
      </c>
      <c r="B1414" s="11">
        <f>VLOOKUP(A1414,[1]HD_price_daily!$A$8:$B$1768,2,0)</f>
        <v>286.41000000000003</v>
      </c>
      <c r="C1414">
        <f t="shared" si="88"/>
        <v>-1.2553614394810175E-3</v>
      </c>
      <c r="D1414" s="1" t="str">
        <f t="shared" ca="1" si="89"/>
        <v>=B1414/B1413-1</v>
      </c>
      <c r="E1414" s="8">
        <f>VLOOKUP(A1414,'[1]S&amp;P500_DAILY'!$A$8:$B$1768,2,0)</f>
        <v>4224.16</v>
      </c>
      <c r="F1414" s="1">
        <f t="shared" si="90"/>
        <v>-1.2585320243104325E-2</v>
      </c>
      <c r="G1414" s="1" t="str">
        <f t="shared" ca="1" si="91"/>
        <v>=E1414/E1413-1</v>
      </c>
    </row>
    <row r="1415" spans="1:7">
      <c r="A1415" s="14">
        <v>45222</v>
      </c>
      <c r="B1415" s="11">
        <f>VLOOKUP(A1415,[1]HD_price_daily!$A$8:$B$1768,2,0)</f>
        <v>285.07</v>
      </c>
      <c r="C1415">
        <f t="shared" si="88"/>
        <v>-4.678607590517192E-3</v>
      </c>
      <c r="D1415" s="1" t="str">
        <f t="shared" ca="1" si="89"/>
        <v>=B1415/B1414-1</v>
      </c>
      <c r="E1415" s="8">
        <f>VLOOKUP(A1415,'[1]S&amp;P500_DAILY'!$A$8:$B$1768,2,0)</f>
        <v>4217.04</v>
      </c>
      <c r="F1415" s="1">
        <f t="shared" si="90"/>
        <v>-1.685542214310054E-3</v>
      </c>
      <c r="G1415" s="1" t="str">
        <f t="shared" ca="1" si="91"/>
        <v>=E1415/E1414-1</v>
      </c>
    </row>
    <row r="1416" spans="1:7">
      <c r="A1416" s="14">
        <v>45223</v>
      </c>
      <c r="B1416" s="11">
        <f>VLOOKUP(A1416,[1]HD_price_daily!$A$8:$B$1768,2,0)</f>
        <v>283.31</v>
      </c>
      <c r="C1416">
        <f t="shared" si="88"/>
        <v>-6.1739221945487088E-3</v>
      </c>
      <c r="D1416" s="1" t="str">
        <f t="shared" ca="1" si="89"/>
        <v>=B1416/B1415-1</v>
      </c>
      <c r="E1416" s="8">
        <f>VLOOKUP(A1416,'[1]S&amp;P500_DAILY'!$A$8:$B$1768,2,0)</f>
        <v>4247.68</v>
      </c>
      <c r="F1416" s="1">
        <f t="shared" si="90"/>
        <v>7.2657598694820802E-3</v>
      </c>
      <c r="G1416" s="1" t="str">
        <f t="shared" ca="1" si="91"/>
        <v>=E1416/E1415-1</v>
      </c>
    </row>
    <row r="1417" spans="1:7">
      <c r="A1417" s="14">
        <v>45224</v>
      </c>
      <c r="B1417" s="11">
        <f>VLOOKUP(A1417,[1]HD_price_daily!$A$8:$B$1768,2,0)</f>
        <v>280.93</v>
      </c>
      <c r="C1417">
        <f t="shared" si="88"/>
        <v>-8.4006918216794624E-3</v>
      </c>
      <c r="D1417" s="1" t="str">
        <f t="shared" ca="1" si="89"/>
        <v>=B1417/B1416-1</v>
      </c>
      <c r="E1417" s="8">
        <f>VLOOKUP(A1417,'[1]S&amp;P500_DAILY'!$A$8:$B$1768,2,0)</f>
        <v>4186.7700000000004</v>
      </c>
      <c r="F1417" s="1">
        <f t="shared" si="90"/>
        <v>-1.4339592436341642E-2</v>
      </c>
      <c r="G1417" s="1" t="str">
        <f t="shared" ca="1" si="91"/>
        <v>=E1417/E1416-1</v>
      </c>
    </row>
    <row r="1418" spans="1:7">
      <c r="A1418" s="14">
        <v>45225</v>
      </c>
      <c r="B1418" s="11">
        <f>VLOOKUP(A1418,[1]HD_price_daily!$A$8:$B$1768,2,0)</f>
        <v>278</v>
      </c>
      <c r="C1418">
        <f t="shared" si="88"/>
        <v>-1.0429644395401061E-2</v>
      </c>
      <c r="D1418" s="1" t="str">
        <f t="shared" ca="1" si="89"/>
        <v>=B1418/B1417-1</v>
      </c>
      <c r="E1418" s="8">
        <f>VLOOKUP(A1418,'[1]S&amp;P500_DAILY'!$A$8:$B$1768,2,0)</f>
        <v>4137.2299999999996</v>
      </c>
      <c r="F1418" s="1">
        <f t="shared" si="90"/>
        <v>-1.183251050332379E-2</v>
      </c>
      <c r="G1418" s="1" t="str">
        <f t="shared" ca="1" si="91"/>
        <v>=E1418/E1417-1</v>
      </c>
    </row>
    <row r="1419" spans="1:7">
      <c r="A1419" s="14">
        <v>45226</v>
      </c>
      <c r="B1419" s="11">
        <f>VLOOKUP(A1419,[1]HD_price_daily!$A$8:$B$1768,2,0)</f>
        <v>276.45999999999998</v>
      </c>
      <c r="C1419">
        <f t="shared" si="88"/>
        <v>-5.5395683453237643E-3</v>
      </c>
      <c r="D1419" s="1" t="str">
        <f t="shared" ca="1" si="89"/>
        <v>=B1419/B1418-1</v>
      </c>
      <c r="E1419" s="8">
        <f>VLOOKUP(A1419,'[1]S&amp;P500_DAILY'!$A$8:$B$1768,2,0)</f>
        <v>4117.37</v>
      </c>
      <c r="F1419" s="1">
        <f t="shared" si="90"/>
        <v>-4.8003132530701764E-3</v>
      </c>
      <c r="G1419" s="1" t="str">
        <f t="shared" ca="1" si="91"/>
        <v>=E1419/E1418-1</v>
      </c>
    </row>
    <row r="1420" spans="1:7">
      <c r="A1420" s="14">
        <v>45229</v>
      </c>
      <c r="B1420" s="11">
        <f>VLOOKUP(A1420,[1]HD_price_daily!$A$8:$B$1768,2,0)</f>
        <v>281.48</v>
      </c>
      <c r="C1420">
        <f t="shared" si="88"/>
        <v>1.8158142226723628E-2</v>
      </c>
      <c r="D1420" s="1" t="str">
        <f t="shared" ca="1" si="89"/>
        <v>=B1420/B1419-1</v>
      </c>
      <c r="E1420" s="8">
        <f>VLOOKUP(A1420,'[1]S&amp;P500_DAILY'!$A$8:$B$1768,2,0)</f>
        <v>4166.82</v>
      </c>
      <c r="F1420" s="1">
        <f t="shared" si="90"/>
        <v>1.2010093822027113E-2</v>
      </c>
      <c r="G1420" s="1" t="str">
        <f t="shared" ca="1" si="91"/>
        <v>=E1420/E1419-1</v>
      </c>
    </row>
    <row r="1421" spans="1:7">
      <c r="A1421" s="14">
        <v>45230</v>
      </c>
      <c r="B1421" s="11">
        <f>VLOOKUP(A1421,[1]HD_price_daily!$A$8:$B$1768,2,0)</f>
        <v>284.69</v>
      </c>
      <c r="C1421">
        <f t="shared" si="88"/>
        <v>1.1404007389512527E-2</v>
      </c>
      <c r="D1421" s="1" t="str">
        <f t="shared" ca="1" si="89"/>
        <v>=B1421/B1420-1</v>
      </c>
      <c r="E1421" s="8">
        <f>VLOOKUP(A1421,'[1]S&amp;P500_DAILY'!$A$8:$B$1768,2,0)</f>
        <v>4193.8</v>
      </c>
      <c r="F1421" s="1">
        <f t="shared" si="90"/>
        <v>6.4749617214088229E-3</v>
      </c>
      <c r="G1421" s="1" t="str">
        <f t="shared" ca="1" si="91"/>
        <v>=E1421/E1420-1</v>
      </c>
    </row>
    <row r="1422" spans="1:7">
      <c r="A1422" s="14">
        <v>45231</v>
      </c>
      <c r="B1422" s="11">
        <f>VLOOKUP(A1422,[1]HD_price_daily!$A$8:$B$1768,2,0)</f>
        <v>286.63</v>
      </c>
      <c r="C1422">
        <f t="shared" si="88"/>
        <v>6.814429730584104E-3</v>
      </c>
      <c r="D1422" s="1" t="str">
        <f t="shared" ca="1" si="89"/>
        <v>=B1422/B1421-1</v>
      </c>
      <c r="E1422" s="8">
        <f>VLOOKUP(A1422,'[1]S&amp;P500_DAILY'!$A$8:$B$1768,2,0)</f>
        <v>4237.8599999999997</v>
      </c>
      <c r="F1422" s="1">
        <f t="shared" si="90"/>
        <v>1.0505985025513809E-2</v>
      </c>
      <c r="G1422" s="1" t="str">
        <f t="shared" ca="1" si="91"/>
        <v>=E1422/E1421-1</v>
      </c>
    </row>
    <row r="1423" spans="1:7">
      <c r="A1423" s="14">
        <v>45232</v>
      </c>
      <c r="B1423" s="11">
        <f>VLOOKUP(A1423,[1]HD_price_daily!$A$8:$B$1768,2,0)</f>
        <v>294.52999999999997</v>
      </c>
      <c r="C1423">
        <f t="shared" si="88"/>
        <v>2.756166486411038E-2</v>
      </c>
      <c r="D1423" s="1" t="str">
        <f t="shared" ca="1" si="89"/>
        <v>=B1423/B1422-1</v>
      </c>
      <c r="E1423" s="8">
        <f>VLOOKUP(A1423,'[1]S&amp;P500_DAILY'!$A$8:$B$1768,2,0)</f>
        <v>4317.78</v>
      </c>
      <c r="F1423" s="1">
        <f t="shared" si="90"/>
        <v>1.8858574846738696E-2</v>
      </c>
      <c r="G1423" s="1" t="str">
        <f t="shared" ca="1" si="91"/>
        <v>=E1423/E1422-1</v>
      </c>
    </row>
    <row r="1424" spans="1:7">
      <c r="A1424" s="14">
        <v>45233</v>
      </c>
      <c r="B1424" s="11">
        <f>VLOOKUP(A1424,[1]HD_price_daily!$A$8:$B$1768,2,0)</f>
        <v>295.61</v>
      </c>
      <c r="C1424">
        <f t="shared" si="88"/>
        <v>3.6668590635928755E-3</v>
      </c>
      <c r="D1424" s="1" t="str">
        <f t="shared" ca="1" si="89"/>
        <v>=B1424/B1423-1</v>
      </c>
      <c r="E1424" s="8">
        <f>VLOOKUP(A1424,'[1]S&amp;P500_DAILY'!$A$8:$B$1768,2,0)</f>
        <v>4358.34</v>
      </c>
      <c r="F1424" s="1">
        <f t="shared" si="90"/>
        <v>9.3937162152772924E-3</v>
      </c>
      <c r="G1424" s="1" t="str">
        <f t="shared" ca="1" si="91"/>
        <v>=E1424/E1423-1</v>
      </c>
    </row>
    <row r="1425" spans="1:7">
      <c r="A1425" s="14">
        <v>45236</v>
      </c>
      <c r="B1425" s="11">
        <f>VLOOKUP(A1425,[1]HD_price_daily!$A$8:$B$1768,2,0)</f>
        <v>294.57</v>
      </c>
      <c r="C1425">
        <f t="shared" si="88"/>
        <v>-3.5181489124184173E-3</v>
      </c>
      <c r="D1425" s="1" t="str">
        <f t="shared" ca="1" si="89"/>
        <v>=B1425/B1424-1</v>
      </c>
      <c r="E1425" s="8">
        <f>VLOOKUP(A1425,'[1]S&amp;P500_DAILY'!$A$8:$B$1768,2,0)</f>
        <v>4365.9799999999996</v>
      </c>
      <c r="F1425" s="1">
        <f t="shared" si="90"/>
        <v>1.7529609897344312E-3</v>
      </c>
      <c r="G1425" s="1" t="str">
        <f t="shared" ca="1" si="91"/>
        <v>=E1425/E1424-1</v>
      </c>
    </row>
    <row r="1426" spans="1:7">
      <c r="A1426" s="14">
        <v>45237</v>
      </c>
      <c r="B1426" s="11">
        <f>VLOOKUP(A1426,[1]HD_price_daily!$A$8:$B$1768,2,0)</f>
        <v>294.77</v>
      </c>
      <c r="C1426">
        <f t="shared" si="88"/>
        <v>6.7895576603183017E-4</v>
      </c>
      <c r="D1426" s="1" t="str">
        <f t="shared" ca="1" si="89"/>
        <v>=B1426/B1425-1</v>
      </c>
      <c r="E1426" s="8">
        <f>VLOOKUP(A1426,'[1]S&amp;P500_DAILY'!$A$8:$B$1768,2,0)</f>
        <v>4378.38</v>
      </c>
      <c r="F1426" s="1">
        <f t="shared" si="90"/>
        <v>2.8401412741241305E-3</v>
      </c>
      <c r="G1426" s="1" t="str">
        <f t="shared" ca="1" si="91"/>
        <v>=E1426/E1425-1</v>
      </c>
    </row>
    <row r="1427" spans="1:7">
      <c r="A1427" s="14">
        <v>45238</v>
      </c>
      <c r="B1427" s="11">
        <f>VLOOKUP(A1427,[1]HD_price_daily!$A$8:$B$1768,2,0)</f>
        <v>295.92</v>
      </c>
      <c r="C1427">
        <f t="shared" si="88"/>
        <v>3.901346812769324E-3</v>
      </c>
      <c r="D1427" s="1" t="str">
        <f t="shared" ca="1" si="89"/>
        <v>=B1427/B1426-1</v>
      </c>
      <c r="E1427" s="8">
        <f>VLOOKUP(A1427,'[1]S&amp;P500_DAILY'!$A$8:$B$1768,2,0)</f>
        <v>4382.78</v>
      </c>
      <c r="F1427" s="1">
        <f t="shared" si="90"/>
        <v>1.0049378994057001E-3</v>
      </c>
      <c r="G1427" s="1" t="str">
        <f t="shared" ca="1" si="91"/>
        <v>=E1427/E1426-1</v>
      </c>
    </row>
    <row r="1428" spans="1:7">
      <c r="A1428" s="14">
        <v>45239</v>
      </c>
      <c r="B1428" s="11">
        <f>VLOOKUP(A1428,[1]HD_price_daily!$A$8:$B$1768,2,0)</f>
        <v>287.87</v>
      </c>
      <c r="C1428">
        <f t="shared" si="88"/>
        <v>-2.7203298188699709E-2</v>
      </c>
      <c r="D1428" s="1" t="str">
        <f t="shared" ca="1" si="89"/>
        <v>=B1428/B1427-1</v>
      </c>
      <c r="E1428" s="8">
        <f>VLOOKUP(A1428,'[1]S&amp;P500_DAILY'!$A$8:$B$1768,2,0)</f>
        <v>4347.3500000000004</v>
      </c>
      <c r="F1428" s="1">
        <f t="shared" si="90"/>
        <v>-8.0839102122395312E-3</v>
      </c>
      <c r="G1428" s="1" t="str">
        <f t="shared" ca="1" si="91"/>
        <v>=E1428/E1427-1</v>
      </c>
    </row>
    <row r="1429" spans="1:7">
      <c r="A1429" s="14">
        <v>45240</v>
      </c>
      <c r="B1429" s="11">
        <f>VLOOKUP(A1429,[1]HD_price_daily!$A$8:$B$1768,2,0)</f>
        <v>291.58999999999997</v>
      </c>
      <c r="C1429">
        <f t="shared" si="88"/>
        <v>1.2922499739465687E-2</v>
      </c>
      <c r="D1429" s="1" t="str">
        <f t="shared" ca="1" si="89"/>
        <v>=B1429/B1428-1</v>
      </c>
      <c r="E1429" s="8">
        <f>VLOOKUP(A1429,'[1]S&amp;P500_DAILY'!$A$8:$B$1768,2,0)</f>
        <v>4415.24</v>
      </c>
      <c r="F1429" s="1">
        <f t="shared" si="90"/>
        <v>1.5616409996894509E-2</v>
      </c>
      <c r="G1429" s="1" t="str">
        <f t="shared" ca="1" si="91"/>
        <v>=E1429/E1428-1</v>
      </c>
    </row>
    <row r="1430" spans="1:7">
      <c r="A1430" s="14">
        <v>45243</v>
      </c>
      <c r="B1430" s="11">
        <f>VLOOKUP(A1430,[1]HD_price_daily!$A$8:$B$1768,2,0)</f>
        <v>288.07</v>
      </c>
      <c r="C1430">
        <f t="shared" si="88"/>
        <v>-1.2071744572859089E-2</v>
      </c>
      <c r="D1430" s="1" t="str">
        <f t="shared" ca="1" si="89"/>
        <v>=B1430/B1429-1</v>
      </c>
      <c r="E1430" s="8">
        <f>VLOOKUP(A1430,'[1]S&amp;P500_DAILY'!$A$8:$B$1768,2,0)</f>
        <v>4411.55</v>
      </c>
      <c r="F1430" s="1">
        <f t="shared" si="90"/>
        <v>-8.3574165843747217E-4</v>
      </c>
      <c r="G1430" s="1" t="str">
        <f t="shared" ca="1" si="91"/>
        <v>=E1430/E1429-1</v>
      </c>
    </row>
    <row r="1431" spans="1:7">
      <c r="A1431" s="14">
        <v>45244</v>
      </c>
      <c r="B1431" s="11">
        <f>VLOOKUP(A1431,[1]HD_price_daily!$A$8:$B$1768,2,0)</f>
        <v>303.63</v>
      </c>
      <c r="C1431">
        <f t="shared" si="88"/>
        <v>5.4014649217204225E-2</v>
      </c>
      <c r="D1431" s="1" t="str">
        <f t="shared" ca="1" si="89"/>
        <v>=B1431/B1430-1</v>
      </c>
      <c r="E1431" s="8">
        <f>VLOOKUP(A1431,'[1]S&amp;P500_DAILY'!$A$8:$B$1768,2,0)</f>
        <v>4495.7</v>
      </c>
      <c r="F1431" s="1">
        <f t="shared" si="90"/>
        <v>1.9074928313177919E-2</v>
      </c>
      <c r="G1431" s="1" t="str">
        <f t="shared" ca="1" si="91"/>
        <v>=E1431/E1430-1</v>
      </c>
    </row>
    <row r="1432" spans="1:7">
      <c r="A1432" s="14">
        <v>45245</v>
      </c>
      <c r="B1432" s="11">
        <f>VLOOKUP(A1432,[1]HD_price_daily!$A$8:$B$1768,2,0)</f>
        <v>308.19</v>
      </c>
      <c r="C1432">
        <f t="shared" si="88"/>
        <v>1.5018278826202991E-2</v>
      </c>
      <c r="D1432" s="1" t="str">
        <f t="shared" ca="1" si="89"/>
        <v>=B1432/B1431-1</v>
      </c>
      <c r="E1432" s="8">
        <f>VLOOKUP(A1432,'[1]S&amp;P500_DAILY'!$A$8:$B$1768,2,0)</f>
        <v>4502.88</v>
      </c>
      <c r="F1432" s="1">
        <f t="shared" si="90"/>
        <v>1.597081655804411E-3</v>
      </c>
      <c r="G1432" s="1" t="str">
        <f t="shared" ca="1" si="91"/>
        <v>=E1432/E1431-1</v>
      </c>
    </row>
    <row r="1433" spans="1:7">
      <c r="A1433" s="14">
        <v>45246</v>
      </c>
      <c r="B1433" s="11">
        <f>VLOOKUP(A1433,[1]HD_price_daily!$A$8:$B$1768,2,0)</f>
        <v>306.44</v>
      </c>
      <c r="C1433">
        <f t="shared" si="88"/>
        <v>-5.6783153249618801E-3</v>
      </c>
      <c r="D1433" s="1" t="str">
        <f t="shared" ca="1" si="89"/>
        <v>=B1433/B1432-1</v>
      </c>
      <c r="E1433" s="8">
        <f>VLOOKUP(A1433,'[1]S&amp;P500_DAILY'!$A$8:$B$1768,2,0)</f>
        <v>4508.24</v>
      </c>
      <c r="F1433" s="1">
        <f t="shared" si="90"/>
        <v>1.1903492875668942E-3</v>
      </c>
      <c r="G1433" s="1" t="str">
        <f t="shared" ca="1" si="91"/>
        <v>=E1433/E1432-1</v>
      </c>
    </row>
    <row r="1434" spans="1:7">
      <c r="A1434" s="14">
        <v>45247</v>
      </c>
      <c r="B1434" s="11">
        <f>VLOOKUP(A1434,[1]HD_price_daily!$A$8:$B$1768,2,0)</f>
        <v>307.27</v>
      </c>
      <c r="C1434">
        <f t="shared" si="88"/>
        <v>2.7085236914239363E-3</v>
      </c>
      <c r="D1434" s="1" t="str">
        <f t="shared" ca="1" si="89"/>
        <v>=B1434/B1433-1</v>
      </c>
      <c r="E1434" s="8">
        <f>VLOOKUP(A1434,'[1]S&amp;P500_DAILY'!$A$8:$B$1768,2,0)</f>
        <v>4514.0200000000004</v>
      </c>
      <c r="F1434" s="1">
        <f t="shared" si="90"/>
        <v>1.2820967827800178E-3</v>
      </c>
      <c r="G1434" s="1" t="str">
        <f t="shared" ca="1" si="91"/>
        <v>=E1434/E1433-1</v>
      </c>
    </row>
    <row r="1435" spans="1:7">
      <c r="A1435" s="14">
        <v>45250</v>
      </c>
      <c r="B1435" s="11">
        <f>VLOOKUP(A1435,[1]HD_price_daily!$A$8:$B$1768,2,0)</f>
        <v>308.19</v>
      </c>
      <c r="C1435">
        <f t="shared" si="88"/>
        <v>2.994109415172419E-3</v>
      </c>
      <c r="D1435" s="1" t="str">
        <f t="shared" ca="1" si="89"/>
        <v>=B1435/B1434-1</v>
      </c>
      <c r="E1435" s="8">
        <f>VLOOKUP(A1435,'[1]S&amp;P500_DAILY'!$A$8:$B$1768,2,0)</f>
        <v>4547.38</v>
      </c>
      <c r="F1435" s="1">
        <f t="shared" si="90"/>
        <v>7.3903084168878141E-3</v>
      </c>
      <c r="G1435" s="1" t="str">
        <f t="shared" ca="1" si="91"/>
        <v>=E1435/E1434-1</v>
      </c>
    </row>
    <row r="1436" spans="1:7">
      <c r="A1436" s="14">
        <v>45251</v>
      </c>
      <c r="B1436" s="11">
        <f>VLOOKUP(A1436,[1]HD_price_daily!$A$8:$B$1768,2,0)</f>
        <v>305.33999999999997</v>
      </c>
      <c r="C1436">
        <f t="shared" si="88"/>
        <v>-9.2475421006522618E-3</v>
      </c>
      <c r="D1436" s="1" t="str">
        <f t="shared" ca="1" si="89"/>
        <v>=B1436/B1435-1</v>
      </c>
      <c r="E1436" s="8">
        <f>VLOOKUP(A1436,'[1]S&amp;P500_DAILY'!$A$8:$B$1768,2,0)</f>
        <v>4538.1899999999996</v>
      </c>
      <c r="F1436" s="1">
        <f t="shared" si="90"/>
        <v>-2.020943928152108E-3</v>
      </c>
      <c r="G1436" s="1" t="str">
        <f t="shared" ca="1" si="91"/>
        <v>=E1436/E1435-1</v>
      </c>
    </row>
    <row r="1437" spans="1:7">
      <c r="A1437" s="14">
        <v>45252</v>
      </c>
      <c r="B1437" s="11">
        <f>VLOOKUP(A1437,[1]HD_price_daily!$A$8:$B$1768,2,0)</f>
        <v>309.2</v>
      </c>
      <c r="C1437">
        <f t="shared" si="88"/>
        <v>1.2641645378921984E-2</v>
      </c>
      <c r="D1437" s="1" t="str">
        <f t="shared" ca="1" si="89"/>
        <v>=B1437/B1436-1</v>
      </c>
      <c r="E1437" s="8">
        <f>VLOOKUP(A1437,'[1]S&amp;P500_DAILY'!$A$8:$B$1768,2,0)</f>
        <v>4556.62</v>
      </c>
      <c r="F1437" s="1">
        <f t="shared" si="90"/>
        <v>4.0610904347329058E-3</v>
      </c>
      <c r="G1437" s="1" t="str">
        <f t="shared" ca="1" si="91"/>
        <v>=E1437/E1436-1</v>
      </c>
    </row>
    <row r="1438" spans="1:7">
      <c r="A1438" s="14">
        <v>45254</v>
      </c>
      <c r="B1438" s="11">
        <f>VLOOKUP(A1438,[1]HD_price_daily!$A$8:$B$1768,2,0)</f>
        <v>310.7</v>
      </c>
      <c r="C1438">
        <f t="shared" si="88"/>
        <v>4.8512289780078266E-3</v>
      </c>
      <c r="D1438" s="1" t="str">
        <f t="shared" ca="1" si="89"/>
        <v>=B1438/B1437-1</v>
      </c>
      <c r="E1438" s="8">
        <f>VLOOKUP(A1438,'[1]S&amp;P500_DAILY'!$A$8:$B$1768,2,0)</f>
        <v>4559.34</v>
      </c>
      <c r="F1438" s="1">
        <f t="shared" si="90"/>
        <v>5.9693369207880487E-4</v>
      </c>
      <c r="G1438" s="1" t="str">
        <f t="shared" ca="1" si="91"/>
        <v>=E1438/E1437-1</v>
      </c>
    </row>
    <row r="1439" spans="1:7">
      <c r="A1439" s="14">
        <v>45257</v>
      </c>
      <c r="B1439" s="11">
        <f>VLOOKUP(A1439,[1]HD_price_daily!$A$8:$B$1768,2,0)</f>
        <v>310.92</v>
      </c>
      <c r="C1439">
        <f t="shared" si="88"/>
        <v>7.0807853234633455E-4</v>
      </c>
      <c r="D1439" s="1" t="str">
        <f t="shared" ca="1" si="89"/>
        <v>=B1439/B1438-1</v>
      </c>
      <c r="E1439" s="8">
        <f>VLOOKUP(A1439,'[1]S&amp;P500_DAILY'!$A$8:$B$1768,2,0)</f>
        <v>4550.43</v>
      </c>
      <c r="F1439" s="1">
        <f t="shared" si="90"/>
        <v>-1.9542302175314941E-3</v>
      </c>
      <c r="G1439" s="1" t="str">
        <f t="shared" ca="1" si="91"/>
        <v>=E1439/E1438-1</v>
      </c>
    </row>
    <row r="1440" spans="1:7">
      <c r="A1440" s="14">
        <v>45258</v>
      </c>
      <c r="B1440" s="11">
        <f>VLOOKUP(A1440,[1]HD_price_daily!$A$8:$B$1768,2,0)</f>
        <v>313.33999999999997</v>
      </c>
      <c r="C1440">
        <f t="shared" si="88"/>
        <v>7.7833526309016854E-3</v>
      </c>
      <c r="D1440" s="1" t="str">
        <f t="shared" ca="1" si="89"/>
        <v>=B1440/B1439-1</v>
      </c>
      <c r="E1440" s="8">
        <f>VLOOKUP(A1440,'[1]S&amp;P500_DAILY'!$A$8:$B$1768,2,0)</f>
        <v>4554.8900000000003</v>
      </c>
      <c r="F1440" s="1">
        <f t="shared" si="90"/>
        <v>9.801271528184774E-4</v>
      </c>
      <c r="G1440" s="1" t="str">
        <f t="shared" ca="1" si="91"/>
        <v>=E1440/E1439-1</v>
      </c>
    </row>
    <row r="1441" spans="1:7">
      <c r="A1441" s="14">
        <v>45259</v>
      </c>
      <c r="B1441" s="11">
        <f>VLOOKUP(A1441,[1]HD_price_daily!$A$8:$B$1768,2,0)</f>
        <v>311.02</v>
      </c>
      <c r="C1441">
        <f t="shared" si="88"/>
        <v>-7.4040977851534961E-3</v>
      </c>
      <c r="D1441" s="1" t="str">
        <f t="shared" ca="1" si="89"/>
        <v>=B1441/B1440-1</v>
      </c>
      <c r="E1441" s="8">
        <f>VLOOKUP(A1441,'[1]S&amp;P500_DAILY'!$A$8:$B$1768,2,0)</f>
        <v>4550.58</v>
      </c>
      <c r="F1441" s="1">
        <f t="shared" si="90"/>
        <v>-9.4623580371877569E-4</v>
      </c>
      <c r="G1441" s="1" t="str">
        <f t="shared" ca="1" si="91"/>
        <v>=E1441/E1440-1</v>
      </c>
    </row>
    <row r="1442" spans="1:7">
      <c r="A1442" s="14">
        <v>45260</v>
      </c>
      <c r="B1442" s="11">
        <f>VLOOKUP(A1442,[1]HD_price_daily!$A$8:$B$1768,2,0)</f>
        <v>313.49</v>
      </c>
      <c r="C1442">
        <f t="shared" si="88"/>
        <v>7.9416114719310649E-3</v>
      </c>
      <c r="D1442" s="1" t="str">
        <f t="shared" ca="1" si="89"/>
        <v>=B1442/B1441-1</v>
      </c>
      <c r="E1442" s="8">
        <f>VLOOKUP(A1442,'[1]S&amp;P500_DAILY'!$A$8:$B$1768,2,0)</f>
        <v>4567.8</v>
      </c>
      <c r="F1442" s="1">
        <f t="shared" si="90"/>
        <v>3.7841330116161753E-3</v>
      </c>
      <c r="G1442" s="1" t="str">
        <f t="shared" ca="1" si="91"/>
        <v>=E1442/E1441-1</v>
      </c>
    </row>
    <row r="1443" spans="1:7">
      <c r="A1443" s="14">
        <v>45261</v>
      </c>
      <c r="B1443" s="11">
        <f>VLOOKUP(A1443,[1]HD_price_daily!$A$8:$B$1768,2,0)</f>
        <v>319.62</v>
      </c>
      <c r="C1443">
        <f t="shared" si="88"/>
        <v>1.9554052760853535E-2</v>
      </c>
      <c r="D1443" s="1" t="str">
        <f t="shared" ca="1" si="89"/>
        <v>=B1443/B1442-1</v>
      </c>
      <c r="E1443" s="8">
        <f>VLOOKUP(A1443,'[1]S&amp;P500_DAILY'!$A$8:$B$1768,2,0)</f>
        <v>4594.63</v>
      </c>
      <c r="F1443" s="1">
        <f t="shared" si="90"/>
        <v>5.873724769035471E-3</v>
      </c>
      <c r="G1443" s="1" t="str">
        <f t="shared" ca="1" si="91"/>
        <v>=E1443/E1442-1</v>
      </c>
    </row>
    <row r="1444" spans="1:7">
      <c r="A1444" s="14">
        <v>45264</v>
      </c>
      <c r="B1444" s="11">
        <f>VLOOKUP(A1444,[1]HD_price_daily!$A$8:$B$1768,2,0)</f>
        <v>324.02</v>
      </c>
      <c r="C1444">
        <f t="shared" si="88"/>
        <v>1.3766347537701007E-2</v>
      </c>
      <c r="D1444" s="1" t="str">
        <f t="shared" ca="1" si="89"/>
        <v>=B1444/B1443-1</v>
      </c>
      <c r="E1444" s="8">
        <f>VLOOKUP(A1444,'[1]S&amp;P500_DAILY'!$A$8:$B$1768,2,0)</f>
        <v>4569.78</v>
      </c>
      <c r="F1444" s="1">
        <f t="shared" si="90"/>
        <v>-5.4084877345945692E-3</v>
      </c>
      <c r="G1444" s="1" t="str">
        <f t="shared" ca="1" si="91"/>
        <v>=E1444/E1443-1</v>
      </c>
    </row>
    <row r="1445" spans="1:7">
      <c r="A1445" s="14">
        <v>45265</v>
      </c>
      <c r="B1445" s="11">
        <f>VLOOKUP(A1445,[1]HD_price_daily!$A$8:$B$1768,2,0)</f>
        <v>323.5</v>
      </c>
      <c r="C1445">
        <f t="shared" si="88"/>
        <v>-1.6048392074562434E-3</v>
      </c>
      <c r="D1445" s="1" t="str">
        <f t="shared" ca="1" si="89"/>
        <v>=B1445/B1444-1</v>
      </c>
      <c r="E1445" s="8">
        <f>VLOOKUP(A1445,'[1]S&amp;P500_DAILY'!$A$8:$B$1768,2,0)</f>
        <v>4567.18</v>
      </c>
      <c r="F1445" s="1">
        <f t="shared" si="90"/>
        <v>-5.6895517946142782E-4</v>
      </c>
      <c r="G1445" s="1" t="str">
        <f t="shared" ca="1" si="91"/>
        <v>=E1445/E1444-1</v>
      </c>
    </row>
    <row r="1446" spans="1:7">
      <c r="A1446" s="14">
        <v>45266</v>
      </c>
      <c r="B1446" s="11">
        <f>VLOOKUP(A1446,[1]HD_price_daily!$A$8:$B$1768,2,0)</f>
        <v>326.11</v>
      </c>
      <c r="C1446">
        <f t="shared" si="88"/>
        <v>8.0680061823803495E-3</v>
      </c>
      <c r="D1446" s="1" t="str">
        <f t="shared" ca="1" si="89"/>
        <v>=B1446/B1445-1</v>
      </c>
      <c r="E1446" s="8">
        <f>VLOOKUP(A1446,'[1]S&amp;P500_DAILY'!$A$8:$B$1768,2,0)</f>
        <v>4549.34</v>
      </c>
      <c r="F1446" s="1">
        <f t="shared" si="90"/>
        <v>-3.9061302598102365E-3</v>
      </c>
      <c r="G1446" s="1" t="str">
        <f t="shared" ca="1" si="91"/>
        <v>=E1446/E1445-1</v>
      </c>
    </row>
    <row r="1447" spans="1:7">
      <c r="A1447" s="14">
        <v>45267</v>
      </c>
      <c r="B1447" s="11">
        <f>VLOOKUP(A1447,[1]HD_price_daily!$A$8:$B$1768,2,0)</f>
        <v>326.17</v>
      </c>
      <c r="C1447">
        <f t="shared" si="88"/>
        <v>1.8398699825206144E-4</v>
      </c>
      <c r="D1447" s="1" t="str">
        <f t="shared" ca="1" si="89"/>
        <v>=B1447/B1446-1</v>
      </c>
      <c r="E1447" s="8">
        <f>VLOOKUP(A1447,'[1]S&amp;P500_DAILY'!$A$8:$B$1768,2,0)</f>
        <v>4585.59</v>
      </c>
      <c r="F1447" s="1">
        <f t="shared" si="90"/>
        <v>7.9681887922204986E-3</v>
      </c>
      <c r="G1447" s="1" t="str">
        <f t="shared" ca="1" si="91"/>
        <v>=E1447/E1446-1</v>
      </c>
    </row>
    <row r="1448" spans="1:7">
      <c r="A1448" s="14">
        <v>45268</v>
      </c>
      <c r="B1448" s="11">
        <f>VLOOKUP(A1448,[1]HD_price_daily!$A$8:$B$1768,2,0)</f>
        <v>326.47000000000003</v>
      </c>
      <c r="C1448">
        <f t="shared" si="88"/>
        <v>9.1976576631824791E-4</v>
      </c>
      <c r="D1448" s="1" t="str">
        <f t="shared" ca="1" si="89"/>
        <v>=B1448/B1447-1</v>
      </c>
      <c r="E1448" s="8">
        <f>VLOOKUP(A1448,'[1]S&amp;P500_DAILY'!$A$8:$B$1768,2,0)</f>
        <v>4604.37</v>
      </c>
      <c r="F1448" s="1">
        <f t="shared" si="90"/>
        <v>4.0954381006588214E-3</v>
      </c>
      <c r="G1448" s="1" t="str">
        <f t="shared" ca="1" si="91"/>
        <v>=E1448/E1447-1</v>
      </c>
    </row>
    <row r="1449" spans="1:7">
      <c r="A1449" s="14">
        <v>45271</v>
      </c>
      <c r="B1449" s="11">
        <f>VLOOKUP(A1449,[1]HD_price_daily!$A$8:$B$1768,2,0)</f>
        <v>331.33</v>
      </c>
      <c r="C1449">
        <f t="shared" si="88"/>
        <v>1.4886513309032789E-2</v>
      </c>
      <c r="D1449" s="1" t="str">
        <f t="shared" ca="1" si="89"/>
        <v>=B1449/B1448-1</v>
      </c>
      <c r="E1449" s="8">
        <f>VLOOKUP(A1449,'[1]S&amp;P500_DAILY'!$A$8:$B$1768,2,0)</f>
        <v>4622.4399999999996</v>
      </c>
      <c r="F1449" s="1">
        <f t="shared" si="90"/>
        <v>3.9245325636296791E-3</v>
      </c>
      <c r="G1449" s="1" t="str">
        <f t="shared" ca="1" si="91"/>
        <v>=E1449/E1448-1</v>
      </c>
    </row>
    <row r="1450" spans="1:7">
      <c r="A1450" s="14">
        <v>45272</v>
      </c>
      <c r="B1450" s="11">
        <f>VLOOKUP(A1450,[1]HD_price_daily!$A$8:$B$1768,2,0)</f>
        <v>333.2</v>
      </c>
      <c r="C1450">
        <f t="shared" si="88"/>
        <v>5.6439199589533029E-3</v>
      </c>
      <c r="D1450" s="1" t="str">
        <f t="shared" ca="1" si="89"/>
        <v>=B1450/B1449-1</v>
      </c>
      <c r="E1450" s="8">
        <f>VLOOKUP(A1450,'[1]S&amp;P500_DAILY'!$A$8:$B$1768,2,0)</f>
        <v>4643.7</v>
      </c>
      <c r="F1450" s="1">
        <f t="shared" si="90"/>
        <v>4.599302532861449E-3</v>
      </c>
      <c r="G1450" s="1" t="str">
        <f t="shared" ca="1" si="91"/>
        <v>=E1450/E1449-1</v>
      </c>
    </row>
    <row r="1451" spans="1:7">
      <c r="A1451" s="14">
        <v>45273</v>
      </c>
      <c r="B1451" s="11">
        <f>VLOOKUP(A1451,[1]HD_price_daily!$A$8:$B$1768,2,0)</f>
        <v>343.4</v>
      </c>
      <c r="C1451">
        <f t="shared" si="88"/>
        <v>3.0612244897959107E-2</v>
      </c>
      <c r="D1451" s="1" t="str">
        <f t="shared" ca="1" si="89"/>
        <v>=B1451/B1450-1</v>
      </c>
      <c r="E1451" s="8">
        <f>VLOOKUP(A1451,'[1]S&amp;P500_DAILY'!$A$8:$B$1768,2,0)</f>
        <v>4707.09</v>
      </c>
      <c r="F1451" s="1">
        <f t="shared" si="90"/>
        <v>1.3650752632599072E-2</v>
      </c>
      <c r="G1451" s="1" t="str">
        <f t="shared" ca="1" si="91"/>
        <v>=E1451/E1450-1</v>
      </c>
    </row>
    <row r="1452" spans="1:7">
      <c r="A1452" s="14">
        <v>45274</v>
      </c>
      <c r="B1452" s="11">
        <f>VLOOKUP(A1452,[1]HD_price_daily!$A$8:$B$1768,2,0)</f>
        <v>351.81</v>
      </c>
      <c r="C1452">
        <f t="shared" si="88"/>
        <v>2.4490390215492264E-2</v>
      </c>
      <c r="D1452" s="1" t="str">
        <f t="shared" ca="1" si="89"/>
        <v>=B1452/B1451-1</v>
      </c>
      <c r="E1452" s="8">
        <f>VLOOKUP(A1452,'[1]S&amp;P500_DAILY'!$A$8:$B$1768,2,0)</f>
        <v>4719.55</v>
      </c>
      <c r="F1452" s="1">
        <f t="shared" si="90"/>
        <v>2.6470706954828671E-3</v>
      </c>
      <c r="G1452" s="1" t="str">
        <f t="shared" ca="1" si="91"/>
        <v>=E1452/E1451-1</v>
      </c>
    </row>
    <row r="1453" spans="1:7">
      <c r="A1453" s="14">
        <v>45275</v>
      </c>
      <c r="B1453" s="11">
        <f>VLOOKUP(A1453,[1]HD_price_daily!$A$8:$B$1768,2,0)</f>
        <v>354</v>
      </c>
      <c r="C1453">
        <f t="shared" si="88"/>
        <v>6.2249509678520276E-3</v>
      </c>
      <c r="D1453" s="1" t="str">
        <f t="shared" ca="1" si="89"/>
        <v>=B1453/B1452-1</v>
      </c>
      <c r="E1453" s="8">
        <f>VLOOKUP(A1453,'[1]S&amp;P500_DAILY'!$A$8:$B$1768,2,0)</f>
        <v>4719.1899999999996</v>
      </c>
      <c r="F1453" s="1">
        <f t="shared" si="90"/>
        <v>-7.6278458751466438E-5</v>
      </c>
      <c r="G1453" s="1" t="str">
        <f t="shared" ca="1" si="91"/>
        <v>=E1453/E1452-1</v>
      </c>
    </row>
    <row r="1454" spans="1:7">
      <c r="A1454" s="14">
        <v>45278</v>
      </c>
      <c r="B1454" s="11">
        <f>VLOOKUP(A1454,[1]HD_price_daily!$A$8:$B$1768,2,0)</f>
        <v>350.81</v>
      </c>
      <c r="C1454">
        <f t="shared" si="88"/>
        <v>-9.0112994350282083E-3</v>
      </c>
      <c r="D1454" s="1" t="str">
        <f t="shared" ca="1" si="89"/>
        <v>=B1454/B1453-1</v>
      </c>
      <c r="E1454" s="8">
        <f>VLOOKUP(A1454,'[1]S&amp;P500_DAILY'!$A$8:$B$1768,2,0)</f>
        <v>4740.5600000000004</v>
      </c>
      <c r="F1454" s="1">
        <f t="shared" si="90"/>
        <v>4.5283194785548098E-3</v>
      </c>
      <c r="G1454" s="1" t="str">
        <f t="shared" ca="1" si="91"/>
        <v>=E1454/E1453-1</v>
      </c>
    </row>
    <row r="1455" spans="1:7">
      <c r="A1455" s="14">
        <v>45279</v>
      </c>
      <c r="B1455" s="11">
        <f>VLOOKUP(A1455,[1]HD_price_daily!$A$8:$B$1768,2,0)</f>
        <v>352.07</v>
      </c>
      <c r="C1455">
        <f t="shared" si="88"/>
        <v>3.5916878082151715E-3</v>
      </c>
      <c r="D1455" s="1" t="str">
        <f t="shared" ca="1" si="89"/>
        <v>=B1455/B1454-1</v>
      </c>
      <c r="E1455" s="8">
        <f>VLOOKUP(A1455,'[1]S&amp;P500_DAILY'!$A$8:$B$1768,2,0)</f>
        <v>4768.37</v>
      </c>
      <c r="F1455" s="1">
        <f t="shared" si="90"/>
        <v>5.8663955313296157E-3</v>
      </c>
      <c r="G1455" s="1" t="str">
        <f t="shared" ca="1" si="91"/>
        <v>=E1455/E1454-1</v>
      </c>
    </row>
    <row r="1456" spans="1:7">
      <c r="A1456" s="14">
        <v>45280</v>
      </c>
      <c r="B1456" s="11">
        <f>VLOOKUP(A1456,[1]HD_price_daily!$A$8:$B$1768,2,0)</f>
        <v>348.66</v>
      </c>
      <c r="C1456">
        <f t="shared" si="88"/>
        <v>-9.6855738915555545E-3</v>
      </c>
      <c r="D1456" s="1" t="str">
        <f t="shared" ca="1" si="89"/>
        <v>=B1456/B1455-1</v>
      </c>
      <c r="E1456" s="8">
        <f>VLOOKUP(A1456,'[1]S&amp;P500_DAILY'!$A$8:$B$1768,2,0)</f>
        <v>4698.3500000000004</v>
      </c>
      <c r="F1456" s="1">
        <f t="shared" si="90"/>
        <v>-1.4684263175886003E-2</v>
      </c>
      <c r="G1456" s="1" t="str">
        <f t="shared" ca="1" si="91"/>
        <v>=E1456/E1455-1</v>
      </c>
    </row>
    <row r="1457" spans="1:7">
      <c r="A1457" s="14">
        <v>45281</v>
      </c>
      <c r="B1457" s="11">
        <f>VLOOKUP(A1457,[1]HD_price_daily!$A$8:$B$1768,2,0)</f>
        <v>348.97</v>
      </c>
      <c r="C1457">
        <f t="shared" si="88"/>
        <v>8.8911833878269064E-4</v>
      </c>
      <c r="D1457" s="1" t="str">
        <f t="shared" ca="1" si="89"/>
        <v>=B1457/B1456-1</v>
      </c>
      <c r="E1457" s="8">
        <f>VLOOKUP(A1457,'[1]S&amp;P500_DAILY'!$A$8:$B$1768,2,0)</f>
        <v>4746.75</v>
      </c>
      <c r="F1457" s="1">
        <f t="shared" si="90"/>
        <v>1.030148882054327E-2</v>
      </c>
      <c r="G1457" s="1" t="str">
        <f t="shared" ca="1" si="91"/>
        <v>=E1457/E1456-1</v>
      </c>
    </row>
    <row r="1458" spans="1:7">
      <c r="A1458" s="14">
        <v>45282</v>
      </c>
      <c r="B1458" s="11">
        <f>VLOOKUP(A1458,[1]HD_price_daily!$A$8:$B$1768,2,0)</f>
        <v>348.59</v>
      </c>
      <c r="C1458">
        <f t="shared" si="88"/>
        <v>-1.0889188182366949E-3</v>
      </c>
      <c r="D1458" s="1" t="str">
        <f t="shared" ca="1" si="89"/>
        <v>=B1458/B1457-1</v>
      </c>
      <c r="E1458" s="8">
        <f>VLOOKUP(A1458,'[1]S&amp;P500_DAILY'!$A$8:$B$1768,2,0)</f>
        <v>4754.63</v>
      </c>
      <c r="F1458" s="1">
        <f t="shared" si="90"/>
        <v>1.6600832148312428E-3</v>
      </c>
      <c r="G1458" s="1" t="str">
        <f t="shared" ca="1" si="91"/>
        <v>=E1458/E1457-1</v>
      </c>
    </row>
    <row r="1459" spans="1:7">
      <c r="A1459" s="14">
        <v>45286</v>
      </c>
      <c r="B1459" s="11">
        <f>VLOOKUP(A1459,[1]HD_price_daily!$A$8:$B$1768,2,0)</f>
        <v>349.31</v>
      </c>
      <c r="C1459">
        <f t="shared" si="88"/>
        <v>2.0654637252934815E-3</v>
      </c>
      <c r="D1459" s="1" t="str">
        <f t="shared" ca="1" si="89"/>
        <v>=B1459/B1458-1</v>
      </c>
      <c r="E1459" s="8">
        <f>VLOOKUP(A1459,'[1]S&amp;P500_DAILY'!$A$8:$B$1768,2,0)</f>
        <v>4774.75</v>
      </c>
      <c r="F1459" s="1">
        <f t="shared" si="90"/>
        <v>4.2316647141837915E-3</v>
      </c>
      <c r="G1459" s="1" t="str">
        <f t="shared" ca="1" si="91"/>
        <v>=E1459/E1458-1</v>
      </c>
    </row>
    <row r="1460" spans="1:7">
      <c r="A1460" s="14">
        <v>45287</v>
      </c>
      <c r="B1460" s="11">
        <f>VLOOKUP(A1460,[1]HD_price_daily!$A$8:$B$1768,2,0)</f>
        <v>348.53</v>
      </c>
      <c r="C1460">
        <f t="shared" si="88"/>
        <v>-2.2329735764794467E-3</v>
      </c>
      <c r="D1460" s="1" t="str">
        <f t="shared" ca="1" si="89"/>
        <v>=B1460/B1459-1</v>
      </c>
      <c r="E1460" s="8">
        <f>VLOOKUP(A1460,'[1]S&amp;P500_DAILY'!$A$8:$B$1768,2,0)</f>
        <v>4781.58</v>
      </c>
      <c r="F1460" s="1">
        <f t="shared" si="90"/>
        <v>1.430441384365766E-3</v>
      </c>
      <c r="G1460" s="1" t="str">
        <f t="shared" ca="1" si="91"/>
        <v>=E1460/E1459-1</v>
      </c>
    </row>
    <row r="1461" spans="1:7">
      <c r="A1461" s="14">
        <v>45288</v>
      </c>
      <c r="B1461" s="11">
        <f>VLOOKUP(A1461,[1]HD_price_daily!$A$8:$B$1768,2,0)</f>
        <v>347.36</v>
      </c>
      <c r="C1461">
        <f t="shared" si="88"/>
        <v>-3.3569563595672314E-3</v>
      </c>
      <c r="D1461" s="1" t="str">
        <f t="shared" ca="1" si="89"/>
        <v>=B1461/B1460-1</v>
      </c>
      <c r="E1461" s="8">
        <f>VLOOKUP(A1461,'[1]S&amp;P500_DAILY'!$A$8:$B$1768,2,0)</f>
        <v>4783.3500000000004</v>
      </c>
      <c r="F1461" s="1">
        <f t="shared" si="90"/>
        <v>3.7017052940679918E-4</v>
      </c>
      <c r="G1461" s="1" t="str">
        <f t="shared" ca="1" si="91"/>
        <v>=E1461/E1460-1</v>
      </c>
    </row>
    <row r="1462" spans="1:7">
      <c r="A1462" s="14">
        <v>45289</v>
      </c>
      <c r="B1462" s="11">
        <f>VLOOKUP(A1462,[1]HD_price_daily!$A$8:$B$1768,2,0)</f>
        <v>346.55</v>
      </c>
      <c r="C1462">
        <f t="shared" si="88"/>
        <v>-2.331874712114268E-3</v>
      </c>
      <c r="D1462" s="1" t="str">
        <f t="shared" ca="1" si="89"/>
        <v>=B1462/B1461-1</v>
      </c>
      <c r="E1462" s="8">
        <f>VLOOKUP(A1462,'[1]S&amp;P500_DAILY'!$A$8:$B$1768,2,0)</f>
        <v>4769.83</v>
      </c>
      <c r="F1462" s="1">
        <f t="shared" si="90"/>
        <v>-2.8264709879060046E-3</v>
      </c>
      <c r="G1462" s="1" t="str">
        <f t="shared" ca="1" si="91"/>
        <v>=E1462/E1461-1</v>
      </c>
    </row>
    <row r="1463" spans="1:7">
      <c r="A1463" s="14">
        <v>45293</v>
      </c>
      <c r="B1463" s="11">
        <f>VLOOKUP(A1463,[1]HD_price_daily!$A$8:$B$1768,2,0)</f>
        <v>345.08</v>
      </c>
      <c r="C1463">
        <f t="shared" si="88"/>
        <v>-4.2418121483192017E-3</v>
      </c>
      <c r="D1463" s="1" t="str">
        <f t="shared" ca="1" si="89"/>
        <v>=B1463/B1462-1</v>
      </c>
      <c r="E1463" s="8">
        <f>VLOOKUP(A1463,'[1]S&amp;P500_DAILY'!$A$8:$B$1768,2,0)</f>
        <v>4742.83</v>
      </c>
      <c r="F1463" s="1">
        <f t="shared" si="90"/>
        <v>-5.6605790982068305E-3</v>
      </c>
      <c r="G1463" s="1" t="str">
        <f t="shared" ca="1" si="91"/>
        <v>=E1463/E1462-1</v>
      </c>
    </row>
    <row r="1464" spans="1:7">
      <c r="A1464" s="14">
        <v>45294</v>
      </c>
      <c r="B1464" s="11">
        <f>VLOOKUP(A1464,[1]HD_price_daily!$A$8:$B$1768,2,0)</f>
        <v>338.26</v>
      </c>
      <c r="C1464">
        <f t="shared" si="88"/>
        <v>-1.9763533093775321E-2</v>
      </c>
      <c r="D1464" s="1" t="str">
        <f t="shared" ca="1" si="89"/>
        <v>=B1464/B1463-1</v>
      </c>
      <c r="E1464" s="8">
        <f>VLOOKUP(A1464,'[1]S&amp;P500_DAILY'!$A$8:$B$1768,2,0)</f>
        <v>4704.8100000000004</v>
      </c>
      <c r="F1464" s="1">
        <f t="shared" si="90"/>
        <v>-8.0163109367190621E-3</v>
      </c>
      <c r="G1464" s="1" t="str">
        <f t="shared" ca="1" si="91"/>
        <v>=E1464/E1463-1</v>
      </c>
    </row>
    <row r="1465" spans="1:7">
      <c r="A1465" s="14">
        <v>45295</v>
      </c>
      <c r="B1465" s="11">
        <f>VLOOKUP(A1465,[1]HD_price_daily!$A$8:$B$1768,2,0)</f>
        <v>338.59</v>
      </c>
      <c r="C1465">
        <f t="shared" si="88"/>
        <v>9.7558091408966874E-4</v>
      </c>
      <c r="D1465" s="1" t="str">
        <f t="shared" ca="1" si="89"/>
        <v>=B1465/B1464-1</v>
      </c>
      <c r="E1465" s="8">
        <f>VLOOKUP(A1465,'[1]S&amp;P500_DAILY'!$A$8:$B$1768,2,0)</f>
        <v>4688.68</v>
      </c>
      <c r="F1465" s="1">
        <f t="shared" si="90"/>
        <v>-3.4284062480738342E-3</v>
      </c>
      <c r="G1465" s="1" t="str">
        <f t="shared" ca="1" si="91"/>
        <v>=E1465/E1464-1</v>
      </c>
    </row>
    <row r="1466" spans="1:7">
      <c r="A1466" s="14">
        <v>45296</v>
      </c>
      <c r="B1466" s="11">
        <f>VLOOKUP(A1466,[1]HD_price_daily!$A$8:$B$1768,2,0)</f>
        <v>342.94</v>
      </c>
      <c r="C1466">
        <f t="shared" si="88"/>
        <v>1.2847396556307178E-2</v>
      </c>
      <c r="D1466" s="1" t="str">
        <f t="shared" ca="1" si="89"/>
        <v>=B1466/B1465-1</v>
      </c>
      <c r="E1466" s="8">
        <f>VLOOKUP(A1466,'[1]S&amp;P500_DAILY'!$A$8:$B$1768,2,0)</f>
        <v>4697.24</v>
      </c>
      <c r="F1466" s="1">
        <f t="shared" si="90"/>
        <v>1.8256737503945519E-3</v>
      </c>
      <c r="G1466" s="1" t="str">
        <f t="shared" ca="1" si="91"/>
        <v>=E1466/E1465-1</v>
      </c>
    </row>
    <row r="1467" spans="1:7">
      <c r="A1467" s="14">
        <v>45299</v>
      </c>
      <c r="B1467" s="11">
        <f>VLOOKUP(A1467,[1]HD_price_daily!$A$8:$B$1768,2,0)</f>
        <v>347.93</v>
      </c>
      <c r="C1467">
        <f t="shared" si="88"/>
        <v>1.4550650259520737E-2</v>
      </c>
      <c r="D1467" s="1" t="str">
        <f t="shared" ca="1" si="89"/>
        <v>=B1467/B1466-1</v>
      </c>
      <c r="E1467" s="8">
        <f>VLOOKUP(A1467,'[1]S&amp;P500_DAILY'!$A$8:$B$1768,2,0)</f>
        <v>4763.54</v>
      </c>
      <c r="F1467" s="1">
        <f t="shared" si="90"/>
        <v>1.4114671594383177E-2</v>
      </c>
      <c r="G1467" s="1" t="str">
        <f t="shared" ca="1" si="91"/>
        <v>=E1467/E1466-1</v>
      </c>
    </row>
    <row r="1468" spans="1:7">
      <c r="A1468" s="14">
        <v>45300</v>
      </c>
      <c r="B1468" s="11">
        <f>VLOOKUP(A1468,[1]HD_price_daily!$A$8:$B$1768,2,0)</f>
        <v>346.19</v>
      </c>
      <c r="C1468">
        <f t="shared" si="88"/>
        <v>-5.0010059494726145E-3</v>
      </c>
      <c r="D1468" s="1" t="str">
        <f t="shared" ca="1" si="89"/>
        <v>=B1468/B1467-1</v>
      </c>
      <c r="E1468" s="8">
        <f>VLOOKUP(A1468,'[1]S&amp;P500_DAILY'!$A$8:$B$1768,2,0)</f>
        <v>4756.5</v>
      </c>
      <c r="F1468" s="1">
        <f t="shared" si="90"/>
        <v>-1.4778924917183689E-3</v>
      </c>
      <c r="G1468" s="1" t="str">
        <f t="shared" ca="1" si="91"/>
        <v>=E1468/E1467-1</v>
      </c>
    </row>
    <row r="1469" spans="1:7">
      <c r="A1469" s="14">
        <v>45301</v>
      </c>
      <c r="B1469" s="11">
        <f>VLOOKUP(A1469,[1]HD_price_daily!$A$8:$B$1768,2,0)</f>
        <v>356.8</v>
      </c>
      <c r="C1469">
        <f t="shared" si="88"/>
        <v>3.0647910107166609E-2</v>
      </c>
      <c r="D1469" s="1" t="str">
        <f t="shared" ca="1" si="89"/>
        <v>=B1469/B1468-1</v>
      </c>
      <c r="E1469" s="8">
        <f>VLOOKUP(A1469,'[1]S&amp;P500_DAILY'!$A$8:$B$1768,2,0)</f>
        <v>4783.45</v>
      </c>
      <c r="F1469" s="1">
        <f t="shared" si="90"/>
        <v>5.6659308314936929E-3</v>
      </c>
      <c r="G1469" s="1" t="str">
        <f t="shared" ca="1" si="91"/>
        <v>=E1469/E1468-1</v>
      </c>
    </row>
    <row r="1470" spans="1:7">
      <c r="A1470" s="14">
        <v>45302</v>
      </c>
      <c r="B1470" s="11">
        <f>VLOOKUP(A1470,[1]HD_price_daily!$A$8:$B$1768,2,0)</f>
        <v>356.53</v>
      </c>
      <c r="C1470">
        <f t="shared" si="88"/>
        <v>-7.5672645739921496E-4</v>
      </c>
      <c r="D1470" s="1" t="str">
        <f t="shared" ca="1" si="89"/>
        <v>=B1470/B1469-1</v>
      </c>
      <c r="E1470" s="8">
        <f>VLOOKUP(A1470,'[1]S&amp;P500_DAILY'!$A$8:$B$1768,2,0)</f>
        <v>4780.24</v>
      </c>
      <c r="F1470" s="1">
        <f t="shared" si="90"/>
        <v>-6.7106377196379796E-4</v>
      </c>
      <c r="G1470" s="1" t="str">
        <f t="shared" ca="1" si="91"/>
        <v>=E1470/E1469-1</v>
      </c>
    </row>
    <row r="1471" spans="1:7">
      <c r="A1471" s="14">
        <v>45303</v>
      </c>
      <c r="B1471" s="11">
        <f>VLOOKUP(A1471,[1]HD_price_daily!$A$8:$B$1768,2,0)</f>
        <v>355.71</v>
      </c>
      <c r="C1471">
        <f t="shared" si="88"/>
        <v>-2.2999467085518255E-3</v>
      </c>
      <c r="D1471" s="1" t="str">
        <f t="shared" ca="1" si="89"/>
        <v>=B1471/B1470-1</v>
      </c>
      <c r="E1471" s="8">
        <f>VLOOKUP(A1471,'[1]S&amp;P500_DAILY'!$A$8:$B$1768,2,0)</f>
        <v>4783.83</v>
      </c>
      <c r="F1471" s="1">
        <f t="shared" si="90"/>
        <v>7.5100831757413111E-4</v>
      </c>
      <c r="G1471" s="1" t="str">
        <f t="shared" ca="1" si="91"/>
        <v>=E1471/E1470-1</v>
      </c>
    </row>
    <row r="1472" spans="1:7">
      <c r="A1472" s="14">
        <v>45307</v>
      </c>
      <c r="B1472" s="11">
        <f>VLOOKUP(A1472,[1]HD_price_daily!$A$8:$B$1768,2,0)</f>
        <v>358.43</v>
      </c>
      <c r="C1472">
        <f t="shared" si="88"/>
        <v>7.6466784740378824E-3</v>
      </c>
      <c r="D1472" s="1" t="str">
        <f t="shared" ca="1" si="89"/>
        <v>=B1472/B1471-1</v>
      </c>
      <c r="E1472" s="8">
        <f>VLOOKUP(A1472,'[1]S&amp;P500_DAILY'!$A$8:$B$1768,2,0)</f>
        <v>4765.9799999999996</v>
      </c>
      <c r="F1472" s="1">
        <f t="shared" si="90"/>
        <v>-3.7313198838587747E-3</v>
      </c>
      <c r="G1472" s="1" t="str">
        <f t="shared" ca="1" si="91"/>
        <v>=E1472/E1471-1</v>
      </c>
    </row>
    <row r="1473" spans="1:7">
      <c r="A1473" s="14">
        <v>45308</v>
      </c>
      <c r="B1473" s="11">
        <f>VLOOKUP(A1473,[1]HD_price_daily!$A$8:$B$1768,2,0)</f>
        <v>355.7</v>
      </c>
      <c r="C1473">
        <f t="shared" si="88"/>
        <v>-7.6165499539659898E-3</v>
      </c>
      <c r="D1473" s="1" t="str">
        <f t="shared" ca="1" si="89"/>
        <v>=B1473/B1472-1</v>
      </c>
      <c r="E1473" s="8">
        <f>VLOOKUP(A1473,'[1]S&amp;P500_DAILY'!$A$8:$B$1768,2,0)</f>
        <v>4739.21</v>
      </c>
      <c r="F1473" s="1">
        <f t="shared" si="90"/>
        <v>-5.6168930629166836E-3</v>
      </c>
      <c r="G1473" s="1" t="str">
        <f t="shared" ca="1" si="91"/>
        <v>=E1473/E1472-1</v>
      </c>
    </row>
    <row r="1474" spans="1:7">
      <c r="A1474" s="14">
        <v>45309</v>
      </c>
      <c r="B1474" s="11">
        <f>VLOOKUP(A1474,[1]HD_price_daily!$A$8:$B$1768,2,0)</f>
        <v>357.9</v>
      </c>
      <c r="C1474">
        <f t="shared" si="88"/>
        <v>6.1849873488895035E-3</v>
      </c>
      <c r="D1474" s="1" t="str">
        <f t="shared" ca="1" si="89"/>
        <v>=B1474/B1473-1</v>
      </c>
      <c r="E1474" s="8">
        <f>VLOOKUP(A1474,'[1]S&amp;P500_DAILY'!$A$8:$B$1768,2,0)</f>
        <v>4780.9399999999996</v>
      </c>
      <c r="F1474" s="1">
        <f t="shared" si="90"/>
        <v>8.8052650125229892E-3</v>
      </c>
      <c r="G1474" s="1" t="str">
        <f t="shared" ca="1" si="91"/>
        <v>=E1474/E1473-1</v>
      </c>
    </row>
    <row r="1475" spans="1:7">
      <c r="A1475" s="14">
        <v>45310</v>
      </c>
      <c r="B1475" s="11">
        <f>VLOOKUP(A1475,[1]HD_price_daily!$A$8:$B$1768,2,0)</f>
        <v>362.41</v>
      </c>
      <c r="C1475">
        <f t="shared" si="88"/>
        <v>1.2601285275216645E-2</v>
      </c>
      <c r="D1475" s="1" t="str">
        <f t="shared" ca="1" si="89"/>
        <v>=B1475/B1474-1</v>
      </c>
      <c r="E1475" s="8">
        <f>VLOOKUP(A1475,'[1]S&amp;P500_DAILY'!$A$8:$B$1768,2,0)</f>
        <v>4839.8100000000004</v>
      </c>
      <c r="F1475" s="1">
        <f t="shared" si="90"/>
        <v>1.2313478102632613E-2</v>
      </c>
      <c r="G1475" s="1" t="str">
        <f t="shared" ca="1" si="91"/>
        <v>=E1475/E1474-1</v>
      </c>
    </row>
    <row r="1476" spans="1:7">
      <c r="A1476" s="14">
        <v>45313</v>
      </c>
      <c r="B1476" s="11">
        <f>VLOOKUP(A1476,[1]HD_price_daily!$A$8:$B$1768,2,0)</f>
        <v>356.69</v>
      </c>
      <c r="C1476">
        <f t="shared" ref="C1476:C1539" si="92">B1476/B1475-1</f>
        <v>-1.5783228939598826E-2</v>
      </c>
      <c r="D1476" s="1" t="str">
        <f t="shared" ref="D1476:D1539" ca="1" si="93">_xlfn.FORMULATEXT(C1476)</f>
        <v>=B1476/B1475-1</v>
      </c>
      <c r="E1476" s="8">
        <f>VLOOKUP(A1476,'[1]S&amp;P500_DAILY'!$A$8:$B$1768,2,0)</f>
        <v>4850.43</v>
      </c>
      <c r="F1476" s="1">
        <f t="shared" ref="F1476:F1539" si="94">E1476/E1475-1</f>
        <v>2.194301015948863E-3</v>
      </c>
      <c r="G1476" s="1" t="str">
        <f t="shared" ref="G1476:G1539" ca="1" si="95">_xlfn.FORMULATEXT(F1476)</f>
        <v>=E1476/E1475-1</v>
      </c>
    </row>
    <row r="1477" spans="1:7">
      <c r="A1477" s="14">
        <v>45314</v>
      </c>
      <c r="B1477" s="11">
        <f>VLOOKUP(A1477,[1]HD_price_daily!$A$8:$B$1768,2,0)</f>
        <v>350.78</v>
      </c>
      <c r="C1477">
        <f t="shared" si="92"/>
        <v>-1.6569009504051158E-2</v>
      </c>
      <c r="D1477" s="1" t="str">
        <f t="shared" ca="1" si="93"/>
        <v>=B1477/B1476-1</v>
      </c>
      <c r="E1477" s="8">
        <f>VLOOKUP(A1477,'[1]S&amp;P500_DAILY'!$A$8:$B$1768,2,0)</f>
        <v>4864.6000000000004</v>
      </c>
      <c r="F1477" s="1">
        <f t="shared" si="94"/>
        <v>2.9213904746590025E-3</v>
      </c>
      <c r="G1477" s="1" t="str">
        <f t="shared" ca="1" si="95"/>
        <v>=E1477/E1476-1</v>
      </c>
    </row>
    <row r="1478" spans="1:7">
      <c r="A1478" s="14">
        <v>45315</v>
      </c>
      <c r="B1478" s="11">
        <f>VLOOKUP(A1478,[1]HD_price_daily!$A$8:$B$1768,2,0)</f>
        <v>347.27</v>
      </c>
      <c r="C1478">
        <f t="shared" si="92"/>
        <v>-1.00062717372712E-2</v>
      </c>
      <c r="D1478" s="1" t="str">
        <f t="shared" ca="1" si="93"/>
        <v>=B1478/B1477-1</v>
      </c>
      <c r="E1478" s="8">
        <f>VLOOKUP(A1478,'[1]S&amp;P500_DAILY'!$A$8:$B$1768,2,0)</f>
        <v>4868.55</v>
      </c>
      <c r="F1478" s="1">
        <f t="shared" si="94"/>
        <v>8.1198865271558951E-4</v>
      </c>
      <c r="G1478" s="1" t="str">
        <f t="shared" ca="1" si="95"/>
        <v>=E1478/E1477-1</v>
      </c>
    </row>
    <row r="1479" spans="1:7">
      <c r="A1479" s="14">
        <v>45316</v>
      </c>
      <c r="B1479" s="11">
        <f>VLOOKUP(A1479,[1]HD_price_daily!$A$8:$B$1768,2,0)</f>
        <v>350.97</v>
      </c>
      <c r="C1479">
        <f t="shared" si="92"/>
        <v>1.0654533936130584E-2</v>
      </c>
      <c r="D1479" s="1" t="str">
        <f t="shared" ca="1" si="93"/>
        <v>=B1479/B1478-1</v>
      </c>
      <c r="E1479" s="8">
        <f>VLOOKUP(A1479,'[1]S&amp;P500_DAILY'!$A$8:$B$1768,2,0)</f>
        <v>4894.16</v>
      </c>
      <c r="F1479" s="1">
        <f t="shared" si="94"/>
        <v>5.2602931057501578E-3</v>
      </c>
      <c r="G1479" s="1" t="str">
        <f t="shared" ca="1" si="95"/>
        <v>=E1479/E1478-1</v>
      </c>
    </row>
    <row r="1480" spans="1:7">
      <c r="A1480" s="14">
        <v>45317</v>
      </c>
      <c r="B1480" s="11">
        <f>VLOOKUP(A1480,[1]HD_price_daily!$A$8:$B$1768,2,0)</f>
        <v>355.3</v>
      </c>
      <c r="C1480">
        <f t="shared" si="92"/>
        <v>1.2337236800866069E-2</v>
      </c>
      <c r="D1480" s="1" t="str">
        <f t="shared" ca="1" si="93"/>
        <v>=B1480/B1479-1</v>
      </c>
      <c r="E1480" s="8">
        <f>VLOOKUP(A1480,'[1]S&amp;P500_DAILY'!$A$8:$B$1768,2,0)</f>
        <v>4890.97</v>
      </c>
      <c r="F1480" s="1">
        <f t="shared" si="94"/>
        <v>-6.517972440622799E-4</v>
      </c>
      <c r="G1480" s="1" t="str">
        <f t="shared" ca="1" si="95"/>
        <v>=E1480/E1479-1</v>
      </c>
    </row>
    <row r="1481" spans="1:7">
      <c r="A1481" s="14">
        <v>45320</v>
      </c>
      <c r="B1481" s="11">
        <f>VLOOKUP(A1481,[1]HD_price_daily!$A$8:$B$1768,2,0)</f>
        <v>355.7</v>
      </c>
      <c r="C1481">
        <f t="shared" si="92"/>
        <v>1.1258091753447719E-3</v>
      </c>
      <c r="D1481" s="1" t="str">
        <f t="shared" ca="1" si="93"/>
        <v>=B1481/B1480-1</v>
      </c>
      <c r="E1481" s="8">
        <f>VLOOKUP(A1481,'[1]S&amp;P500_DAILY'!$A$8:$B$1768,2,0)</f>
        <v>4927.93</v>
      </c>
      <c r="F1481" s="1">
        <f t="shared" si="94"/>
        <v>7.5567832147815928E-3</v>
      </c>
      <c r="G1481" s="1" t="str">
        <f t="shared" ca="1" si="95"/>
        <v>=E1481/E1480-1</v>
      </c>
    </row>
    <row r="1482" spans="1:7">
      <c r="A1482" s="14">
        <v>45321</v>
      </c>
      <c r="B1482" s="11">
        <f>VLOOKUP(A1482,[1]HD_price_daily!$A$8:$B$1768,2,0)</f>
        <v>357.1</v>
      </c>
      <c r="C1482">
        <f t="shared" si="92"/>
        <v>3.9359010402024719E-3</v>
      </c>
      <c r="D1482" s="1" t="str">
        <f t="shared" ca="1" si="93"/>
        <v>=B1482/B1481-1</v>
      </c>
      <c r="E1482" s="8">
        <f>VLOOKUP(A1482,'[1]S&amp;P500_DAILY'!$A$8:$B$1768,2,0)</f>
        <v>4924.97</v>
      </c>
      <c r="F1482" s="1">
        <f t="shared" si="94"/>
        <v>-6.0065788272156695E-4</v>
      </c>
      <c r="G1482" s="1" t="str">
        <f t="shared" ca="1" si="95"/>
        <v>=E1482/E1481-1</v>
      </c>
    </row>
    <row r="1483" spans="1:7">
      <c r="A1483" s="14">
        <v>45322</v>
      </c>
      <c r="B1483" s="11">
        <f>VLOOKUP(A1483,[1]HD_price_daily!$A$8:$B$1768,2,0)</f>
        <v>352.96</v>
      </c>
      <c r="C1483">
        <f t="shared" si="92"/>
        <v>-1.1593391206944914E-2</v>
      </c>
      <c r="D1483" s="1" t="str">
        <f t="shared" ca="1" si="93"/>
        <v>=B1483/B1482-1</v>
      </c>
      <c r="E1483" s="8">
        <f>VLOOKUP(A1483,'[1]S&amp;P500_DAILY'!$A$8:$B$1768,2,0)</f>
        <v>4845.6499999999996</v>
      </c>
      <c r="F1483" s="1">
        <f t="shared" si="94"/>
        <v>-1.6105681862021659E-2</v>
      </c>
      <c r="G1483" s="1" t="str">
        <f t="shared" ca="1" si="95"/>
        <v>=E1483/E1482-1</v>
      </c>
    </row>
    <row r="1484" spans="1:7">
      <c r="A1484" s="14">
        <v>45323</v>
      </c>
      <c r="B1484" s="11">
        <f>VLOOKUP(A1484,[1]HD_price_daily!$A$8:$B$1768,2,0)</f>
        <v>360.07</v>
      </c>
      <c r="C1484">
        <f t="shared" si="92"/>
        <v>2.0143925657298389E-2</v>
      </c>
      <c r="D1484" s="1" t="str">
        <f t="shared" ca="1" si="93"/>
        <v>=B1484/B1483-1</v>
      </c>
      <c r="E1484" s="8">
        <f>VLOOKUP(A1484,'[1]S&amp;P500_DAILY'!$A$8:$B$1768,2,0)</f>
        <v>4906.1899999999996</v>
      </c>
      <c r="F1484" s="1">
        <f t="shared" si="94"/>
        <v>1.2493679898465615E-2</v>
      </c>
      <c r="G1484" s="1" t="str">
        <f t="shared" ca="1" si="95"/>
        <v>=E1484/E1483-1</v>
      </c>
    </row>
    <row r="1485" spans="1:7">
      <c r="A1485" s="14">
        <v>45324</v>
      </c>
      <c r="B1485" s="11">
        <f>VLOOKUP(A1485,[1]HD_price_daily!$A$8:$B$1768,2,0)</f>
        <v>357.23</v>
      </c>
      <c r="C1485">
        <f t="shared" si="92"/>
        <v>-7.8873552364817634E-3</v>
      </c>
      <c r="D1485" s="1" t="str">
        <f t="shared" ca="1" si="93"/>
        <v>=B1485/B1484-1</v>
      </c>
      <c r="E1485" s="8">
        <f>VLOOKUP(A1485,'[1]S&amp;P500_DAILY'!$A$8:$B$1768,2,0)</f>
        <v>4958.6099999999997</v>
      </c>
      <c r="F1485" s="1">
        <f t="shared" si="94"/>
        <v>1.0684461873673889E-2</v>
      </c>
      <c r="G1485" s="1" t="str">
        <f t="shared" ca="1" si="95"/>
        <v>=E1485/E1484-1</v>
      </c>
    </row>
    <row r="1486" spans="1:7">
      <c r="A1486" s="14">
        <v>45327</v>
      </c>
      <c r="B1486" s="11">
        <f>VLOOKUP(A1486,[1]HD_price_daily!$A$8:$B$1768,2,0)</f>
        <v>355.14</v>
      </c>
      <c r="C1486">
        <f t="shared" si="92"/>
        <v>-5.8505724603197251E-3</v>
      </c>
      <c r="D1486" s="1" t="str">
        <f t="shared" ca="1" si="93"/>
        <v>=B1486/B1485-1</v>
      </c>
      <c r="E1486" s="8">
        <f>VLOOKUP(A1486,'[1]S&amp;P500_DAILY'!$A$8:$B$1768,2,0)</f>
        <v>4942.8100000000004</v>
      </c>
      <c r="F1486" s="1">
        <f t="shared" si="94"/>
        <v>-3.18637682737688E-3</v>
      </c>
      <c r="G1486" s="1" t="str">
        <f t="shared" ca="1" si="95"/>
        <v>=E1486/E1485-1</v>
      </c>
    </row>
    <row r="1487" spans="1:7">
      <c r="A1487" s="14">
        <v>45328</v>
      </c>
      <c r="B1487" s="11">
        <f>VLOOKUP(A1487,[1]HD_price_daily!$A$8:$B$1768,2,0)</f>
        <v>356.25</v>
      </c>
      <c r="C1487">
        <f t="shared" si="92"/>
        <v>3.1255279608042308E-3</v>
      </c>
      <c r="D1487" s="1" t="str">
        <f t="shared" ca="1" si="93"/>
        <v>=B1487/B1486-1</v>
      </c>
      <c r="E1487" s="8">
        <f>VLOOKUP(A1487,'[1]S&amp;P500_DAILY'!$A$8:$B$1768,2,0)</f>
        <v>4954.2299999999996</v>
      </c>
      <c r="F1487" s="1">
        <f t="shared" si="94"/>
        <v>2.310426660138587E-3</v>
      </c>
      <c r="G1487" s="1" t="str">
        <f t="shared" ca="1" si="95"/>
        <v>=E1487/E1486-1</v>
      </c>
    </row>
    <row r="1488" spans="1:7">
      <c r="A1488" s="14">
        <v>45329</v>
      </c>
      <c r="B1488" s="11">
        <f>VLOOKUP(A1488,[1]HD_price_daily!$A$8:$B$1768,2,0)</f>
        <v>362.69</v>
      </c>
      <c r="C1488">
        <f t="shared" si="92"/>
        <v>1.8077192982456136E-2</v>
      </c>
      <c r="D1488" s="1" t="str">
        <f t="shared" ca="1" si="93"/>
        <v>=B1488/B1487-1</v>
      </c>
      <c r="E1488" s="8">
        <f>VLOOKUP(A1488,'[1]S&amp;P500_DAILY'!$A$8:$B$1768,2,0)</f>
        <v>4995.0600000000004</v>
      </c>
      <c r="F1488" s="1">
        <f t="shared" si="94"/>
        <v>8.2414421615468747E-3</v>
      </c>
      <c r="G1488" s="1" t="str">
        <f t="shared" ca="1" si="95"/>
        <v>=E1488/E1487-1</v>
      </c>
    </row>
    <row r="1489" spans="1:7">
      <c r="A1489" s="14">
        <v>45330</v>
      </c>
      <c r="B1489" s="11">
        <f>VLOOKUP(A1489,[1]HD_price_daily!$A$8:$B$1768,2,0)</f>
        <v>363.72</v>
      </c>
      <c r="C1489">
        <f t="shared" si="92"/>
        <v>2.8398908158482339E-3</v>
      </c>
      <c r="D1489" s="1" t="str">
        <f t="shared" ca="1" si="93"/>
        <v>=B1489/B1488-1</v>
      </c>
      <c r="E1489" s="8">
        <f>VLOOKUP(A1489,'[1]S&amp;P500_DAILY'!$A$8:$B$1768,2,0)</f>
        <v>4997.91</v>
      </c>
      <c r="F1489" s="1">
        <f t="shared" si="94"/>
        <v>5.7056371695218822E-4</v>
      </c>
      <c r="G1489" s="1" t="str">
        <f t="shared" ca="1" si="95"/>
        <v>=E1489/E1488-1</v>
      </c>
    </row>
    <row r="1490" spans="1:7">
      <c r="A1490" s="14">
        <v>45331</v>
      </c>
      <c r="B1490" s="11">
        <f>VLOOKUP(A1490,[1]HD_price_daily!$A$8:$B$1768,2,0)</f>
        <v>363.15</v>
      </c>
      <c r="C1490">
        <f t="shared" si="92"/>
        <v>-1.5671395579017755E-3</v>
      </c>
      <c r="D1490" s="1" t="str">
        <f t="shared" ca="1" si="93"/>
        <v>=B1490/B1489-1</v>
      </c>
      <c r="E1490" s="8">
        <f>VLOOKUP(A1490,'[1]S&amp;P500_DAILY'!$A$8:$B$1768,2,0)</f>
        <v>5026.6099999999997</v>
      </c>
      <c r="F1490" s="1">
        <f t="shared" si="94"/>
        <v>5.7424003233350618E-3</v>
      </c>
      <c r="G1490" s="1" t="str">
        <f t="shared" ca="1" si="95"/>
        <v>=E1490/E1489-1</v>
      </c>
    </row>
    <row r="1491" spans="1:7">
      <c r="A1491" s="14">
        <v>45334</v>
      </c>
      <c r="B1491" s="11">
        <f>VLOOKUP(A1491,[1]HD_price_daily!$A$8:$B$1768,2,0)</f>
        <v>365.45</v>
      </c>
      <c r="C1491">
        <f t="shared" si="92"/>
        <v>6.3334710174858255E-3</v>
      </c>
      <c r="D1491" s="1" t="str">
        <f t="shared" ca="1" si="93"/>
        <v>=B1491/B1490-1</v>
      </c>
      <c r="E1491" s="8">
        <f>VLOOKUP(A1491,'[1]S&amp;P500_DAILY'!$A$8:$B$1768,2,0)</f>
        <v>5021.84</v>
      </c>
      <c r="F1491" s="1">
        <f t="shared" si="94"/>
        <v>-9.4894968975101079E-4</v>
      </c>
      <c r="G1491" s="1" t="str">
        <f t="shared" ca="1" si="95"/>
        <v>=E1491/E1490-1</v>
      </c>
    </row>
    <row r="1492" spans="1:7">
      <c r="A1492" s="14">
        <v>45335</v>
      </c>
      <c r="B1492" s="11">
        <f>VLOOKUP(A1492,[1]HD_price_daily!$A$8:$B$1768,2,0)</f>
        <v>357.59</v>
      </c>
      <c r="C1492">
        <f t="shared" si="92"/>
        <v>-2.1507730195649222E-2</v>
      </c>
      <c r="D1492" s="1" t="str">
        <f t="shared" ca="1" si="93"/>
        <v>=B1492/B1491-1</v>
      </c>
      <c r="E1492" s="8">
        <f>VLOOKUP(A1492,'[1]S&amp;P500_DAILY'!$A$8:$B$1768,2,0)</f>
        <v>4953.17</v>
      </c>
      <c r="F1492" s="1">
        <f t="shared" si="94"/>
        <v>-1.3674270785210219E-2</v>
      </c>
      <c r="G1492" s="1" t="str">
        <f t="shared" ca="1" si="95"/>
        <v>=E1492/E1491-1</v>
      </c>
    </row>
    <row r="1493" spans="1:7">
      <c r="A1493" s="14">
        <v>45336</v>
      </c>
      <c r="B1493" s="11">
        <f>VLOOKUP(A1493,[1]HD_price_daily!$A$8:$B$1768,2,0)</f>
        <v>358.23</v>
      </c>
      <c r="C1493">
        <f t="shared" si="92"/>
        <v>1.7897592214548563E-3</v>
      </c>
      <c r="D1493" s="1" t="str">
        <f t="shared" ca="1" si="93"/>
        <v>=B1493/B1492-1</v>
      </c>
      <c r="E1493" s="8">
        <f>VLOOKUP(A1493,'[1]S&amp;P500_DAILY'!$A$8:$B$1768,2,0)</f>
        <v>5000.62</v>
      </c>
      <c r="F1493" s="1">
        <f t="shared" si="94"/>
        <v>9.5797236921002504E-3</v>
      </c>
      <c r="G1493" s="1" t="str">
        <f t="shared" ca="1" si="95"/>
        <v>=E1493/E1492-1</v>
      </c>
    </row>
    <row r="1494" spans="1:7">
      <c r="A1494" s="14">
        <v>45337</v>
      </c>
      <c r="B1494" s="11">
        <f>VLOOKUP(A1494,[1]HD_price_daily!$A$8:$B$1768,2,0)</f>
        <v>361.08</v>
      </c>
      <c r="C1494">
        <f t="shared" si="92"/>
        <v>7.9557825977722985E-3</v>
      </c>
      <c r="D1494" s="1" t="str">
        <f t="shared" ca="1" si="93"/>
        <v>=B1494/B1493-1</v>
      </c>
      <c r="E1494" s="8">
        <f>VLOOKUP(A1494,'[1]S&amp;P500_DAILY'!$A$8:$B$1768,2,0)</f>
        <v>5029.7299999999996</v>
      </c>
      <c r="F1494" s="1">
        <f t="shared" si="94"/>
        <v>5.8212781615079034E-3</v>
      </c>
      <c r="G1494" s="1" t="str">
        <f t="shared" ca="1" si="95"/>
        <v>=E1494/E1493-1</v>
      </c>
    </row>
    <row r="1495" spans="1:7">
      <c r="A1495" s="14">
        <v>45338</v>
      </c>
      <c r="B1495" s="11">
        <f>VLOOKUP(A1495,[1]HD_price_daily!$A$8:$B$1768,2,0)</f>
        <v>362.35</v>
      </c>
      <c r="C1495">
        <f t="shared" si="92"/>
        <v>3.5172260994793536E-3</v>
      </c>
      <c r="D1495" s="1" t="str">
        <f t="shared" ca="1" si="93"/>
        <v>=B1495/B1494-1</v>
      </c>
      <c r="E1495" s="8">
        <f>VLOOKUP(A1495,'[1]S&amp;P500_DAILY'!$A$8:$B$1768,2,0)</f>
        <v>5005.57</v>
      </c>
      <c r="F1495" s="1">
        <f t="shared" si="94"/>
        <v>-4.8034387531735723E-3</v>
      </c>
      <c r="G1495" s="1" t="str">
        <f t="shared" ca="1" si="95"/>
        <v>=E1495/E1494-1</v>
      </c>
    </row>
    <row r="1496" spans="1:7">
      <c r="A1496" s="14">
        <v>45342</v>
      </c>
      <c r="B1496" s="11">
        <f>VLOOKUP(A1496,[1]HD_price_daily!$A$8:$B$1768,2,0)</f>
        <v>362.57</v>
      </c>
      <c r="C1496">
        <f t="shared" si="92"/>
        <v>6.0714778529047386E-4</v>
      </c>
      <c r="D1496" s="1" t="str">
        <f t="shared" ca="1" si="93"/>
        <v>=B1496/B1495-1</v>
      </c>
      <c r="E1496" s="8">
        <f>VLOOKUP(A1496,'[1]S&amp;P500_DAILY'!$A$8:$B$1768,2,0)</f>
        <v>4975.51</v>
      </c>
      <c r="F1496" s="1">
        <f t="shared" si="94"/>
        <v>-6.0053100845657292E-3</v>
      </c>
      <c r="G1496" s="1" t="str">
        <f t="shared" ca="1" si="95"/>
        <v>=E1496/E1495-1</v>
      </c>
    </row>
    <row r="1497" spans="1:7">
      <c r="A1497" s="14">
        <v>45343</v>
      </c>
      <c r="B1497" s="11">
        <f>VLOOKUP(A1497,[1]HD_price_daily!$A$8:$B$1768,2,0)</f>
        <v>364.13</v>
      </c>
      <c r="C1497">
        <f t="shared" si="92"/>
        <v>4.3026174256006744E-3</v>
      </c>
      <c r="D1497" s="1" t="str">
        <f t="shared" ca="1" si="93"/>
        <v>=B1497/B1496-1</v>
      </c>
      <c r="E1497" s="8">
        <f>VLOOKUP(A1497,'[1]S&amp;P500_DAILY'!$A$8:$B$1768,2,0)</f>
        <v>4981.8</v>
      </c>
      <c r="F1497" s="1">
        <f t="shared" si="94"/>
        <v>1.2641920124771833E-3</v>
      </c>
      <c r="G1497" s="1" t="str">
        <f t="shared" ca="1" si="95"/>
        <v>=E1497/E1496-1</v>
      </c>
    </row>
    <row r="1498" spans="1:7">
      <c r="A1498" s="14">
        <v>45344</v>
      </c>
      <c r="B1498" s="11">
        <f>VLOOKUP(A1498,[1]HD_price_daily!$A$8:$B$1768,2,0)</f>
        <v>371.34</v>
      </c>
      <c r="C1498">
        <f t="shared" si="92"/>
        <v>1.9800620657457468E-2</v>
      </c>
      <c r="D1498" s="1" t="str">
        <f t="shared" ca="1" si="93"/>
        <v>=B1498/B1497-1</v>
      </c>
      <c r="E1498" s="8">
        <f>VLOOKUP(A1498,'[1]S&amp;P500_DAILY'!$A$8:$B$1768,2,0)</f>
        <v>5087.03</v>
      </c>
      <c r="F1498" s="1">
        <f t="shared" si="94"/>
        <v>2.1122887309807714E-2</v>
      </c>
      <c r="G1498" s="1" t="str">
        <f t="shared" ca="1" si="95"/>
        <v>=E1498/E1497-1</v>
      </c>
    </row>
    <row r="1499" spans="1:7">
      <c r="A1499" s="14">
        <v>45345</v>
      </c>
      <c r="B1499" s="11">
        <f>VLOOKUP(A1499,[1]HD_price_daily!$A$8:$B$1768,2,0)</f>
        <v>371.96</v>
      </c>
      <c r="C1499">
        <f t="shared" si="92"/>
        <v>1.6696289115096796E-3</v>
      </c>
      <c r="D1499" s="1" t="str">
        <f t="shared" ca="1" si="93"/>
        <v>=B1499/B1498-1</v>
      </c>
      <c r="E1499" s="8">
        <f>VLOOKUP(A1499,'[1]S&amp;P500_DAILY'!$A$8:$B$1768,2,0)</f>
        <v>5088.8</v>
      </c>
      <c r="F1499" s="1">
        <f t="shared" si="94"/>
        <v>3.4794369209545373E-4</v>
      </c>
      <c r="G1499" s="1" t="str">
        <f t="shared" ca="1" si="95"/>
        <v>=E1499/E1498-1</v>
      </c>
    </row>
    <row r="1500" spans="1:7">
      <c r="A1500" s="14">
        <v>45348</v>
      </c>
      <c r="B1500" s="11">
        <f>VLOOKUP(A1500,[1]HD_price_daily!$A$8:$B$1768,2,0)</f>
        <v>371.6</v>
      </c>
      <c r="C1500">
        <f t="shared" si="92"/>
        <v>-9.6784600494670414E-4</v>
      </c>
      <c r="D1500" s="1" t="str">
        <f t="shared" ca="1" si="93"/>
        <v>=B1500/B1499-1</v>
      </c>
      <c r="E1500" s="8">
        <f>VLOOKUP(A1500,'[1]S&amp;P500_DAILY'!$A$8:$B$1768,2,0)</f>
        <v>5069.53</v>
      </c>
      <c r="F1500" s="1">
        <f t="shared" si="94"/>
        <v>-3.7867473667663187E-3</v>
      </c>
      <c r="G1500" s="1" t="str">
        <f t="shared" ca="1" si="95"/>
        <v>=E1500/E1499-1</v>
      </c>
    </row>
    <row r="1501" spans="1:7">
      <c r="A1501" s="14">
        <v>45349</v>
      </c>
      <c r="B1501" s="11">
        <f>VLOOKUP(A1501,[1]HD_price_daily!$A$8:$B$1768,2,0)</f>
        <v>375.56</v>
      </c>
      <c r="C1501">
        <f t="shared" si="92"/>
        <v>1.0656620021528562E-2</v>
      </c>
      <c r="D1501" s="1" t="str">
        <f t="shared" ca="1" si="93"/>
        <v>=B1501/B1500-1</v>
      </c>
      <c r="E1501" s="8">
        <f>VLOOKUP(A1501,'[1]S&amp;P500_DAILY'!$A$8:$B$1768,2,0)</f>
        <v>5078.18</v>
      </c>
      <c r="F1501" s="1">
        <f t="shared" si="94"/>
        <v>1.7062725735916828E-3</v>
      </c>
      <c r="G1501" s="1" t="str">
        <f t="shared" ca="1" si="95"/>
        <v>=E1501/E1500-1</v>
      </c>
    </row>
    <row r="1502" spans="1:7">
      <c r="A1502" s="14">
        <v>45350</v>
      </c>
      <c r="B1502" s="11">
        <f>VLOOKUP(A1502,[1]HD_price_daily!$A$8:$B$1768,2,0)</f>
        <v>377.61</v>
      </c>
      <c r="C1502">
        <f t="shared" si="92"/>
        <v>5.4585152838428908E-3</v>
      </c>
      <c r="D1502" s="1" t="str">
        <f t="shared" ca="1" si="93"/>
        <v>=B1502/B1501-1</v>
      </c>
      <c r="E1502" s="8">
        <f>VLOOKUP(A1502,'[1]S&amp;P500_DAILY'!$A$8:$B$1768,2,0)</f>
        <v>5069.76</v>
      </c>
      <c r="F1502" s="1">
        <f t="shared" si="94"/>
        <v>-1.6580743494716277E-3</v>
      </c>
      <c r="G1502" s="1" t="str">
        <f t="shared" ca="1" si="95"/>
        <v>=E1502/E1501-1</v>
      </c>
    </row>
    <row r="1503" spans="1:7">
      <c r="A1503" s="14">
        <v>45351</v>
      </c>
      <c r="B1503" s="11">
        <f>VLOOKUP(A1503,[1]HD_price_daily!$A$8:$B$1768,2,0)</f>
        <v>380.61</v>
      </c>
      <c r="C1503">
        <f t="shared" si="92"/>
        <v>7.9447048542147236E-3</v>
      </c>
      <c r="D1503" s="1" t="str">
        <f t="shared" ca="1" si="93"/>
        <v>=B1503/B1502-1</v>
      </c>
      <c r="E1503" s="8">
        <f>VLOOKUP(A1503,'[1]S&amp;P500_DAILY'!$A$8:$B$1768,2,0)</f>
        <v>5096.2700000000004</v>
      </c>
      <c r="F1503" s="1">
        <f t="shared" si="94"/>
        <v>5.229044372909275E-3</v>
      </c>
      <c r="G1503" s="1" t="str">
        <f t="shared" ca="1" si="95"/>
        <v>=E1503/E1502-1</v>
      </c>
    </row>
    <row r="1504" spans="1:7">
      <c r="A1504" s="14">
        <v>45352</v>
      </c>
      <c r="B1504" s="11">
        <f>VLOOKUP(A1504,[1]HD_price_daily!$A$8:$B$1768,2,0)</f>
        <v>384.45</v>
      </c>
      <c r="C1504">
        <f t="shared" si="92"/>
        <v>1.008906754946004E-2</v>
      </c>
      <c r="D1504" s="1" t="str">
        <f t="shared" ca="1" si="93"/>
        <v>=B1504/B1503-1</v>
      </c>
      <c r="E1504" s="8">
        <f>VLOOKUP(A1504,'[1]S&amp;P500_DAILY'!$A$8:$B$1768,2,0)</f>
        <v>5137.08</v>
      </c>
      <c r="F1504" s="1">
        <f t="shared" si="94"/>
        <v>8.0078174821975878E-3</v>
      </c>
      <c r="G1504" s="1" t="str">
        <f t="shared" ca="1" si="95"/>
        <v>=E1504/E1503-1</v>
      </c>
    </row>
    <row r="1505" spans="1:7">
      <c r="A1505" s="14">
        <v>45355</v>
      </c>
      <c r="B1505" s="11">
        <f>VLOOKUP(A1505,[1]HD_price_daily!$A$8:$B$1768,2,0)</f>
        <v>380.37</v>
      </c>
      <c r="C1505">
        <f t="shared" si="92"/>
        <v>-1.0612563402262909E-2</v>
      </c>
      <c r="D1505" s="1" t="str">
        <f t="shared" ca="1" si="93"/>
        <v>=B1505/B1504-1</v>
      </c>
      <c r="E1505" s="8">
        <f>VLOOKUP(A1505,'[1]S&amp;P500_DAILY'!$A$8:$B$1768,2,0)</f>
        <v>5130.95</v>
      </c>
      <c r="F1505" s="1">
        <f t="shared" si="94"/>
        <v>-1.1932849011501157E-3</v>
      </c>
      <c r="G1505" s="1" t="str">
        <f t="shared" ca="1" si="95"/>
        <v>=E1505/E1504-1</v>
      </c>
    </row>
    <row r="1506" spans="1:7">
      <c r="A1506" s="14">
        <v>45356</v>
      </c>
      <c r="B1506" s="11">
        <f>VLOOKUP(A1506,[1]HD_price_daily!$A$8:$B$1768,2,0)</f>
        <v>378.45</v>
      </c>
      <c r="C1506">
        <f t="shared" si="92"/>
        <v>-5.0477166969004061E-3</v>
      </c>
      <c r="D1506" s="1" t="str">
        <f t="shared" ca="1" si="93"/>
        <v>=B1506/B1505-1</v>
      </c>
      <c r="E1506" s="8">
        <f>VLOOKUP(A1506,'[1]S&amp;P500_DAILY'!$A$8:$B$1768,2,0)</f>
        <v>5078.6499999999996</v>
      </c>
      <c r="F1506" s="1">
        <f t="shared" si="94"/>
        <v>-1.0193044173106403E-2</v>
      </c>
      <c r="G1506" s="1" t="str">
        <f t="shared" ca="1" si="95"/>
        <v>=E1506/E1505-1</v>
      </c>
    </row>
    <row r="1507" spans="1:7">
      <c r="A1507" s="14">
        <v>45357</v>
      </c>
      <c r="B1507" s="11">
        <f>VLOOKUP(A1507,[1]HD_price_daily!$A$8:$B$1768,2,0)</f>
        <v>377.44</v>
      </c>
      <c r="C1507">
        <f t="shared" si="92"/>
        <v>-2.6687805522526142E-3</v>
      </c>
      <c r="D1507" s="1" t="str">
        <f t="shared" ca="1" si="93"/>
        <v>=B1507/B1506-1</v>
      </c>
      <c r="E1507" s="8">
        <f>VLOOKUP(A1507,'[1]S&amp;P500_DAILY'!$A$8:$B$1768,2,0)</f>
        <v>5104.76</v>
      </c>
      <c r="F1507" s="1">
        <f t="shared" si="94"/>
        <v>5.1411300247115044E-3</v>
      </c>
      <c r="G1507" s="1" t="str">
        <f t="shared" ca="1" si="95"/>
        <v>=E1507/E1506-1</v>
      </c>
    </row>
    <row r="1508" spans="1:7">
      <c r="A1508" s="14">
        <v>45358</v>
      </c>
      <c r="B1508" s="11">
        <f>VLOOKUP(A1508,[1]HD_price_daily!$A$8:$B$1768,2,0)</f>
        <v>376.55</v>
      </c>
      <c r="C1508">
        <f t="shared" si="92"/>
        <v>-2.3579906740144319E-3</v>
      </c>
      <c r="D1508" s="1" t="str">
        <f t="shared" ca="1" si="93"/>
        <v>=B1508/B1507-1</v>
      </c>
      <c r="E1508" s="8">
        <f>VLOOKUP(A1508,'[1]S&amp;P500_DAILY'!$A$8:$B$1768,2,0)</f>
        <v>5157.3599999999997</v>
      </c>
      <c r="F1508" s="1">
        <f t="shared" si="94"/>
        <v>1.0304108322428451E-2</v>
      </c>
      <c r="G1508" s="1" t="str">
        <f t="shared" ca="1" si="95"/>
        <v>=E1508/E1507-1</v>
      </c>
    </row>
    <row r="1509" spans="1:7">
      <c r="A1509" s="14">
        <v>45359</v>
      </c>
      <c r="B1509" s="11">
        <f>VLOOKUP(A1509,[1]HD_price_daily!$A$8:$B$1768,2,0)</f>
        <v>373.35</v>
      </c>
      <c r="C1509">
        <f t="shared" si="92"/>
        <v>-8.4982074093745696E-3</v>
      </c>
      <c r="D1509" s="1" t="str">
        <f t="shared" ca="1" si="93"/>
        <v>=B1509/B1508-1</v>
      </c>
      <c r="E1509" s="8">
        <f>VLOOKUP(A1509,'[1]S&amp;P500_DAILY'!$A$8:$B$1768,2,0)</f>
        <v>5123.6899999999996</v>
      </c>
      <c r="F1509" s="1">
        <f t="shared" si="94"/>
        <v>-6.5285339786247398E-3</v>
      </c>
      <c r="G1509" s="1" t="str">
        <f t="shared" ca="1" si="95"/>
        <v>=E1509/E1508-1</v>
      </c>
    </row>
    <row r="1510" spans="1:7">
      <c r="A1510" s="14">
        <v>45362</v>
      </c>
      <c r="B1510" s="11">
        <f>VLOOKUP(A1510,[1]HD_price_daily!$A$8:$B$1768,2,0)</f>
        <v>371.52</v>
      </c>
      <c r="C1510">
        <f t="shared" si="92"/>
        <v>-4.9015668943351853E-3</v>
      </c>
      <c r="D1510" s="1" t="str">
        <f t="shared" ca="1" si="93"/>
        <v>=B1510/B1509-1</v>
      </c>
      <c r="E1510" s="8">
        <f>VLOOKUP(A1510,'[1]S&amp;P500_DAILY'!$A$8:$B$1768,2,0)</f>
        <v>5117.9399999999996</v>
      </c>
      <c r="F1510" s="1">
        <f t="shared" si="94"/>
        <v>-1.1222380745127269E-3</v>
      </c>
      <c r="G1510" s="1" t="str">
        <f t="shared" ca="1" si="95"/>
        <v>=E1510/E1509-1</v>
      </c>
    </row>
    <row r="1511" spans="1:7">
      <c r="A1511" s="14">
        <v>45363</v>
      </c>
      <c r="B1511" s="11">
        <f>VLOOKUP(A1511,[1]HD_price_daily!$A$8:$B$1768,2,0)</f>
        <v>374.54</v>
      </c>
      <c r="C1511">
        <f t="shared" si="92"/>
        <v>8.128768303186984E-3</v>
      </c>
      <c r="D1511" s="1" t="str">
        <f t="shared" ca="1" si="93"/>
        <v>=B1511/B1510-1</v>
      </c>
      <c r="E1511" s="8">
        <f>VLOOKUP(A1511,'[1]S&amp;P500_DAILY'!$A$8:$B$1768,2,0)</f>
        <v>5175.2700000000004</v>
      </c>
      <c r="F1511" s="1">
        <f t="shared" si="94"/>
        <v>1.1201772588189884E-2</v>
      </c>
      <c r="G1511" s="1" t="str">
        <f t="shared" ca="1" si="95"/>
        <v>=E1511/E1510-1</v>
      </c>
    </row>
    <row r="1512" spans="1:7">
      <c r="A1512" s="14">
        <v>45364</v>
      </c>
      <c r="B1512" s="11">
        <f>VLOOKUP(A1512,[1]HD_price_daily!$A$8:$B$1768,2,0)</f>
        <v>378.99</v>
      </c>
      <c r="C1512">
        <f t="shared" si="92"/>
        <v>1.1881240988946384E-2</v>
      </c>
      <c r="D1512" s="1" t="str">
        <f t="shared" ca="1" si="93"/>
        <v>=B1512/B1511-1</v>
      </c>
      <c r="E1512" s="8">
        <f>VLOOKUP(A1512,'[1]S&amp;P500_DAILY'!$A$8:$B$1768,2,0)</f>
        <v>5165.3100000000004</v>
      </c>
      <c r="F1512" s="1">
        <f t="shared" si="94"/>
        <v>-1.9245372705192221E-3</v>
      </c>
      <c r="G1512" s="1" t="str">
        <f t="shared" ca="1" si="95"/>
        <v>=E1512/E1511-1</v>
      </c>
    </row>
    <row r="1513" spans="1:7">
      <c r="A1513" s="14">
        <v>45365</v>
      </c>
      <c r="B1513" s="11">
        <f>VLOOKUP(A1513,[1]HD_price_daily!$A$8:$B$1768,2,0)</f>
        <v>375.27</v>
      </c>
      <c r="C1513">
        <f t="shared" si="92"/>
        <v>-9.815562415894985E-3</v>
      </c>
      <c r="D1513" s="1" t="str">
        <f t="shared" ca="1" si="93"/>
        <v>=B1513/B1512-1</v>
      </c>
      <c r="E1513" s="8">
        <f>VLOOKUP(A1513,'[1]S&amp;P500_DAILY'!$A$8:$B$1768,2,0)</f>
        <v>5150.4799999999996</v>
      </c>
      <c r="F1513" s="1">
        <f t="shared" si="94"/>
        <v>-2.871076469757039E-3</v>
      </c>
      <c r="G1513" s="1" t="str">
        <f t="shared" ca="1" si="95"/>
        <v>=E1513/E1512-1</v>
      </c>
    </row>
    <row r="1514" spans="1:7">
      <c r="A1514" s="14">
        <v>45366</v>
      </c>
      <c r="B1514" s="11">
        <f>VLOOKUP(A1514,[1]HD_price_daily!$A$8:$B$1768,2,0)</f>
        <v>373.23</v>
      </c>
      <c r="C1514">
        <f t="shared" si="92"/>
        <v>-5.436086018066888E-3</v>
      </c>
      <c r="D1514" s="1" t="str">
        <f t="shared" ca="1" si="93"/>
        <v>=B1514/B1513-1</v>
      </c>
      <c r="E1514" s="8">
        <f>VLOOKUP(A1514,'[1]S&amp;P500_DAILY'!$A$8:$B$1768,2,0)</f>
        <v>5117.09</v>
      </c>
      <c r="F1514" s="1">
        <f t="shared" si="94"/>
        <v>-6.4828909150214109E-3</v>
      </c>
      <c r="G1514" s="1" t="str">
        <f t="shared" ca="1" si="95"/>
        <v>=E1514/E1513-1</v>
      </c>
    </row>
    <row r="1515" spans="1:7">
      <c r="A1515" s="14">
        <v>45369</v>
      </c>
      <c r="B1515" s="11">
        <f>VLOOKUP(A1515,[1]HD_price_daily!$A$8:$B$1768,2,0)</f>
        <v>371.91</v>
      </c>
      <c r="C1515">
        <f t="shared" si="92"/>
        <v>-3.5366931918655586E-3</v>
      </c>
      <c r="D1515" s="1" t="str">
        <f t="shared" ca="1" si="93"/>
        <v>=B1515/B1514-1</v>
      </c>
      <c r="E1515" s="8">
        <f>VLOOKUP(A1515,'[1]S&amp;P500_DAILY'!$A$8:$B$1768,2,0)</f>
        <v>5149.42</v>
      </c>
      <c r="F1515" s="1">
        <f t="shared" si="94"/>
        <v>6.3180440445644859E-3</v>
      </c>
      <c r="G1515" s="1" t="str">
        <f t="shared" ca="1" si="95"/>
        <v>=E1515/E1514-1</v>
      </c>
    </row>
    <row r="1516" spans="1:7">
      <c r="A1516" s="14">
        <v>45370</v>
      </c>
      <c r="B1516" s="11">
        <f>VLOOKUP(A1516,[1]HD_price_daily!$A$8:$B$1768,2,0)</f>
        <v>379.41</v>
      </c>
      <c r="C1516">
        <f t="shared" si="92"/>
        <v>2.0166169234492104E-2</v>
      </c>
      <c r="D1516" s="1" t="str">
        <f t="shared" ca="1" si="93"/>
        <v>=B1516/B1515-1</v>
      </c>
      <c r="E1516" s="8">
        <f>VLOOKUP(A1516,'[1]S&amp;P500_DAILY'!$A$8:$B$1768,2,0)</f>
        <v>5178.51</v>
      </c>
      <c r="F1516" s="1">
        <f t="shared" si="94"/>
        <v>5.6491799076401339E-3</v>
      </c>
      <c r="G1516" s="1" t="str">
        <f t="shared" ca="1" si="95"/>
        <v>=E1516/E1515-1</v>
      </c>
    </row>
    <row r="1517" spans="1:7">
      <c r="A1517" s="14">
        <v>45371</v>
      </c>
      <c r="B1517" s="11">
        <f>VLOOKUP(A1517,[1]HD_price_daily!$A$8:$B$1768,2,0)</f>
        <v>384.41</v>
      </c>
      <c r="C1517">
        <f t="shared" si="92"/>
        <v>1.3178355868321834E-2</v>
      </c>
      <c r="D1517" s="1" t="str">
        <f t="shared" ca="1" si="93"/>
        <v>=B1517/B1516-1</v>
      </c>
      <c r="E1517" s="8">
        <f>VLOOKUP(A1517,'[1]S&amp;P500_DAILY'!$A$8:$B$1768,2,0)</f>
        <v>5224.62</v>
      </c>
      <c r="F1517" s="1">
        <f t="shared" si="94"/>
        <v>8.9041056211149883E-3</v>
      </c>
      <c r="G1517" s="1" t="str">
        <f t="shared" ca="1" si="95"/>
        <v>=E1517/E1516-1</v>
      </c>
    </row>
    <row r="1518" spans="1:7">
      <c r="A1518" s="14">
        <v>45372</v>
      </c>
      <c r="B1518" s="11">
        <f>VLOOKUP(A1518,[1]HD_price_daily!$A$8:$B$1768,2,0)</f>
        <v>395.2</v>
      </c>
      <c r="C1518">
        <f t="shared" si="92"/>
        <v>2.8068988840040499E-2</v>
      </c>
      <c r="D1518" s="1" t="str">
        <f t="shared" ca="1" si="93"/>
        <v>=B1518/B1517-1</v>
      </c>
      <c r="E1518" s="8">
        <f>VLOOKUP(A1518,'[1]S&amp;P500_DAILY'!$A$8:$B$1768,2,0)</f>
        <v>5241.53</v>
      </c>
      <c r="F1518" s="1">
        <f t="shared" si="94"/>
        <v>3.2365990253835353E-3</v>
      </c>
      <c r="G1518" s="1" t="str">
        <f t="shared" ca="1" si="95"/>
        <v>=E1518/E1517-1</v>
      </c>
    </row>
    <row r="1519" spans="1:7">
      <c r="A1519" s="14">
        <v>45373</v>
      </c>
      <c r="B1519" s="11">
        <f>VLOOKUP(A1519,[1]HD_price_daily!$A$8:$B$1768,2,0)</f>
        <v>390.28</v>
      </c>
      <c r="C1519">
        <f t="shared" si="92"/>
        <v>-1.2449392712550633E-2</v>
      </c>
      <c r="D1519" s="1" t="str">
        <f t="shared" ca="1" si="93"/>
        <v>=B1519/B1518-1</v>
      </c>
      <c r="E1519" s="8">
        <f>VLOOKUP(A1519,'[1]S&amp;P500_DAILY'!$A$8:$B$1768,2,0)</f>
        <v>5234.18</v>
      </c>
      <c r="F1519" s="1">
        <f t="shared" si="94"/>
        <v>-1.4022623165372838E-3</v>
      </c>
      <c r="G1519" s="1" t="str">
        <f t="shared" ca="1" si="95"/>
        <v>=E1519/E1518-1</v>
      </c>
    </row>
    <row r="1520" spans="1:7">
      <c r="A1520" s="14">
        <v>45376</v>
      </c>
      <c r="B1520" s="11">
        <f>VLOOKUP(A1520,[1]HD_price_daily!$A$8:$B$1768,2,0)</f>
        <v>383.51</v>
      </c>
      <c r="C1520">
        <f t="shared" si="92"/>
        <v>-1.7346520446858582E-2</v>
      </c>
      <c r="D1520" s="1" t="str">
        <f t="shared" ca="1" si="93"/>
        <v>=B1520/B1519-1</v>
      </c>
      <c r="E1520" s="8">
        <f>VLOOKUP(A1520,'[1]S&amp;P500_DAILY'!$A$8:$B$1768,2,0)</f>
        <v>5218.1899999999996</v>
      </c>
      <c r="F1520" s="1">
        <f t="shared" si="94"/>
        <v>-3.0549197773100945E-3</v>
      </c>
      <c r="G1520" s="1" t="str">
        <f t="shared" ca="1" si="95"/>
        <v>=E1520/E1519-1</v>
      </c>
    </row>
    <row r="1521" spans="1:7">
      <c r="A1521" s="14">
        <v>45377</v>
      </c>
      <c r="B1521" s="11">
        <f>VLOOKUP(A1521,[1]HD_price_daily!$A$8:$B$1768,2,0)</f>
        <v>379.93</v>
      </c>
      <c r="C1521">
        <f t="shared" si="92"/>
        <v>-9.3348282965242113E-3</v>
      </c>
      <c r="D1521" s="1" t="str">
        <f t="shared" ca="1" si="93"/>
        <v>=B1521/B1520-1</v>
      </c>
      <c r="E1521" s="8">
        <f>VLOOKUP(A1521,'[1]S&amp;P500_DAILY'!$A$8:$B$1768,2,0)</f>
        <v>5203.58</v>
      </c>
      <c r="F1521" s="1">
        <f t="shared" si="94"/>
        <v>-2.7998213940082506E-3</v>
      </c>
      <c r="G1521" s="1" t="str">
        <f t="shared" ca="1" si="95"/>
        <v>=E1521/E1520-1</v>
      </c>
    </row>
    <row r="1522" spans="1:7">
      <c r="A1522" s="14">
        <v>45378</v>
      </c>
      <c r="B1522" s="11">
        <f>VLOOKUP(A1522,[1]HD_price_daily!$A$8:$B$1768,2,0)</f>
        <v>385.89</v>
      </c>
      <c r="C1522">
        <f t="shared" si="92"/>
        <v>1.568710025531006E-2</v>
      </c>
      <c r="D1522" s="1" t="str">
        <f t="shared" ca="1" si="93"/>
        <v>=B1522/B1521-1</v>
      </c>
      <c r="E1522" s="8">
        <f>VLOOKUP(A1522,'[1]S&amp;P500_DAILY'!$A$8:$B$1768,2,0)</f>
        <v>5248.49</v>
      </c>
      <c r="F1522" s="1">
        <f t="shared" si="94"/>
        <v>8.6305966277062662E-3</v>
      </c>
      <c r="G1522" s="1" t="str">
        <f t="shared" ca="1" si="95"/>
        <v>=E1522/E1521-1</v>
      </c>
    </row>
    <row r="1523" spans="1:7">
      <c r="A1523" s="14">
        <v>45379</v>
      </c>
      <c r="B1523" s="11">
        <f>VLOOKUP(A1523,[1]HD_price_daily!$A$8:$B$1768,2,0)</f>
        <v>383.6</v>
      </c>
      <c r="C1523">
        <f t="shared" si="92"/>
        <v>-5.9343336183885764E-3</v>
      </c>
      <c r="D1523" s="1" t="str">
        <f t="shared" ca="1" si="93"/>
        <v>=B1523/B1522-1</v>
      </c>
      <c r="E1523" s="8">
        <f>VLOOKUP(A1523,'[1]S&amp;P500_DAILY'!$A$8:$B$1768,2,0)</f>
        <v>5254.35</v>
      </c>
      <c r="F1523" s="1">
        <f t="shared" si="94"/>
        <v>1.1165116061955249E-3</v>
      </c>
      <c r="G1523" s="1" t="str">
        <f t="shared" ca="1" si="95"/>
        <v>=E1523/E1522-1</v>
      </c>
    </row>
    <row r="1524" spans="1:7">
      <c r="A1524" s="14">
        <v>45383</v>
      </c>
      <c r="B1524" s="11">
        <f>VLOOKUP(A1524,[1]HD_price_daily!$A$8:$B$1768,2,0)</f>
        <v>368.03</v>
      </c>
      <c r="C1524">
        <f t="shared" si="92"/>
        <v>-4.0589155370177377E-2</v>
      </c>
      <c r="D1524" s="1" t="str">
        <f t="shared" ca="1" si="93"/>
        <v>=B1524/B1523-1</v>
      </c>
      <c r="E1524" s="8">
        <f>VLOOKUP(A1524,'[1]S&amp;P500_DAILY'!$A$8:$B$1768,2,0)</f>
        <v>5243.77</v>
      </c>
      <c r="F1524" s="1">
        <f t="shared" si="94"/>
        <v>-2.0135697089078697E-3</v>
      </c>
      <c r="G1524" s="1" t="str">
        <f t="shared" ca="1" si="95"/>
        <v>=E1524/E1523-1</v>
      </c>
    </row>
    <row r="1525" spans="1:7">
      <c r="A1525" s="14">
        <v>45384</v>
      </c>
      <c r="B1525" s="11">
        <f>VLOOKUP(A1525,[1]HD_price_daily!$A$8:$B$1768,2,0)</f>
        <v>363</v>
      </c>
      <c r="C1525">
        <f t="shared" si="92"/>
        <v>-1.3667364073580934E-2</v>
      </c>
      <c r="D1525" s="1" t="str">
        <f t="shared" ca="1" si="93"/>
        <v>=B1525/B1524-1</v>
      </c>
      <c r="E1525" s="8">
        <f>VLOOKUP(A1525,'[1]S&amp;P500_DAILY'!$A$8:$B$1768,2,0)</f>
        <v>5205.8100000000004</v>
      </c>
      <c r="F1525" s="1">
        <f t="shared" si="94"/>
        <v>-7.2390665494481699E-3</v>
      </c>
      <c r="G1525" s="1" t="str">
        <f t="shared" ca="1" si="95"/>
        <v>=E1525/E1524-1</v>
      </c>
    </row>
    <row r="1526" spans="1:7">
      <c r="A1526" s="14">
        <v>45385</v>
      </c>
      <c r="B1526" s="11">
        <f>VLOOKUP(A1526,[1]HD_price_daily!$A$8:$B$1768,2,0)</f>
        <v>359.9</v>
      </c>
      <c r="C1526">
        <f t="shared" si="92"/>
        <v>-8.5399449035813424E-3</v>
      </c>
      <c r="D1526" s="1" t="str">
        <f t="shared" ca="1" si="93"/>
        <v>=B1526/B1525-1</v>
      </c>
      <c r="E1526" s="8">
        <f>VLOOKUP(A1526,'[1]S&amp;P500_DAILY'!$A$8:$B$1768,2,0)</f>
        <v>5211.49</v>
      </c>
      <c r="F1526" s="1">
        <f t="shared" si="94"/>
        <v>1.0910886106099138E-3</v>
      </c>
      <c r="G1526" s="1" t="str">
        <f t="shared" ca="1" si="95"/>
        <v>=E1526/E1525-1</v>
      </c>
    </row>
    <row r="1527" spans="1:7">
      <c r="A1527" s="14">
        <v>45386</v>
      </c>
      <c r="B1527" s="11">
        <f>VLOOKUP(A1527,[1]HD_price_daily!$A$8:$B$1768,2,0)</f>
        <v>357.68</v>
      </c>
      <c r="C1527">
        <f t="shared" si="92"/>
        <v>-6.1683801055848475E-3</v>
      </c>
      <c r="D1527" s="1" t="str">
        <f t="shared" ca="1" si="93"/>
        <v>=B1527/B1526-1</v>
      </c>
      <c r="E1527" s="8">
        <f>VLOOKUP(A1527,'[1]S&amp;P500_DAILY'!$A$8:$B$1768,2,0)</f>
        <v>5147.21</v>
      </c>
      <c r="F1527" s="1">
        <f t="shared" si="94"/>
        <v>-1.2334284436888443E-2</v>
      </c>
      <c r="G1527" s="1" t="str">
        <f t="shared" ca="1" si="95"/>
        <v>=E1527/E1526-1</v>
      </c>
    </row>
    <row r="1528" spans="1:7">
      <c r="A1528" s="14">
        <v>45387</v>
      </c>
      <c r="B1528" s="11">
        <f>VLOOKUP(A1528,[1]HD_price_daily!$A$8:$B$1768,2,0)</f>
        <v>357.87</v>
      </c>
      <c r="C1528">
        <f t="shared" si="92"/>
        <v>5.312010735853967E-4</v>
      </c>
      <c r="D1528" s="1" t="str">
        <f t="shared" ca="1" si="93"/>
        <v>=B1528/B1527-1</v>
      </c>
      <c r="E1528" s="8">
        <f>VLOOKUP(A1528,'[1]S&amp;P500_DAILY'!$A$8:$B$1768,2,0)</f>
        <v>5204.34</v>
      </c>
      <c r="F1528" s="1">
        <f t="shared" si="94"/>
        <v>1.1099216857287653E-2</v>
      </c>
      <c r="G1528" s="1" t="str">
        <f t="shared" ca="1" si="95"/>
        <v>=E1528/E1527-1</v>
      </c>
    </row>
    <row r="1529" spans="1:7">
      <c r="A1529" s="14">
        <v>45390</v>
      </c>
      <c r="B1529" s="11">
        <f>VLOOKUP(A1529,[1]HD_price_daily!$A$8:$B$1768,2,0)</f>
        <v>362.05</v>
      </c>
      <c r="C1529">
        <f t="shared" si="92"/>
        <v>1.1680219073965326E-2</v>
      </c>
      <c r="D1529" s="1" t="str">
        <f t="shared" ca="1" si="93"/>
        <v>=B1529/B1528-1</v>
      </c>
      <c r="E1529" s="8">
        <f>VLOOKUP(A1529,'[1]S&amp;P500_DAILY'!$A$8:$B$1768,2,0)</f>
        <v>5202.3900000000003</v>
      </c>
      <c r="F1529" s="1">
        <f t="shared" si="94"/>
        <v>-3.7468728023148934E-4</v>
      </c>
      <c r="G1529" s="1" t="str">
        <f t="shared" ca="1" si="95"/>
        <v>=E1529/E1528-1</v>
      </c>
    </row>
    <row r="1530" spans="1:7">
      <c r="A1530" s="14">
        <v>45391</v>
      </c>
      <c r="B1530" s="11">
        <f>VLOOKUP(A1530,[1]HD_price_daily!$A$8:$B$1768,2,0)</f>
        <v>361.42</v>
      </c>
      <c r="C1530">
        <f t="shared" si="92"/>
        <v>-1.7400911476315173E-3</v>
      </c>
      <c r="D1530" s="1" t="str">
        <f t="shared" ca="1" si="93"/>
        <v>=B1530/B1529-1</v>
      </c>
      <c r="E1530" s="8">
        <f>VLOOKUP(A1530,'[1]S&amp;P500_DAILY'!$A$8:$B$1768,2,0)</f>
        <v>5209.91</v>
      </c>
      <c r="F1530" s="1">
        <f t="shared" si="94"/>
        <v>1.4454894769517779E-3</v>
      </c>
      <c r="G1530" s="1" t="str">
        <f t="shared" ca="1" si="95"/>
        <v>=E1530/E1529-1</v>
      </c>
    </row>
    <row r="1531" spans="1:7">
      <c r="A1531" s="14">
        <v>45392</v>
      </c>
      <c r="B1531" s="11">
        <f>VLOOKUP(A1531,[1]HD_price_daily!$A$8:$B$1768,2,0)</f>
        <v>350.56</v>
      </c>
      <c r="C1531">
        <f t="shared" si="92"/>
        <v>-3.0048143434231678E-2</v>
      </c>
      <c r="D1531" s="1" t="str">
        <f t="shared" ca="1" si="93"/>
        <v>=B1531/B1530-1</v>
      </c>
      <c r="E1531" s="8">
        <f>VLOOKUP(A1531,'[1]S&amp;P500_DAILY'!$A$8:$B$1768,2,0)</f>
        <v>5160.6400000000003</v>
      </c>
      <c r="F1531" s="1">
        <f t="shared" si="94"/>
        <v>-9.4569771838668437E-3</v>
      </c>
      <c r="G1531" s="1" t="str">
        <f t="shared" ca="1" si="95"/>
        <v>=E1531/E1530-1</v>
      </c>
    </row>
    <row r="1532" spans="1:7">
      <c r="A1532" s="14">
        <v>45393</v>
      </c>
      <c r="B1532" s="11">
        <f>VLOOKUP(A1532,[1]HD_price_daily!$A$8:$B$1768,2,0)</f>
        <v>347.37</v>
      </c>
      <c r="C1532">
        <f t="shared" si="92"/>
        <v>-9.0997261524418116E-3</v>
      </c>
      <c r="D1532" s="1" t="str">
        <f t="shared" ca="1" si="93"/>
        <v>=B1532/B1531-1</v>
      </c>
      <c r="E1532" s="8">
        <f>VLOOKUP(A1532,'[1]S&amp;P500_DAILY'!$A$8:$B$1768,2,0)</f>
        <v>5199.0600000000004</v>
      </c>
      <c r="F1532" s="1">
        <f t="shared" si="94"/>
        <v>7.4448130464439544E-3</v>
      </c>
      <c r="G1532" s="1" t="str">
        <f t="shared" ca="1" si="95"/>
        <v>=E1532/E1531-1</v>
      </c>
    </row>
    <row r="1533" spans="1:7">
      <c r="A1533" s="14">
        <v>45394</v>
      </c>
      <c r="B1533" s="11">
        <f>VLOOKUP(A1533,[1]HD_price_daily!$A$8:$B$1768,2,0)</f>
        <v>342.87</v>
      </c>
      <c r="C1533">
        <f t="shared" si="92"/>
        <v>-1.2954486570515567E-2</v>
      </c>
      <c r="D1533" s="1" t="str">
        <f t="shared" ca="1" si="93"/>
        <v>=B1533/B1532-1</v>
      </c>
      <c r="E1533" s="8">
        <f>VLOOKUP(A1533,'[1]S&amp;P500_DAILY'!$A$8:$B$1768,2,0)</f>
        <v>5123.41</v>
      </c>
      <c r="F1533" s="1">
        <f t="shared" si="94"/>
        <v>-1.4550707243232486E-2</v>
      </c>
      <c r="G1533" s="1" t="str">
        <f t="shared" ca="1" si="95"/>
        <v>=E1533/E1532-1</v>
      </c>
    </row>
    <row r="1534" spans="1:7">
      <c r="A1534" s="14">
        <v>45397</v>
      </c>
      <c r="B1534" s="11">
        <f>VLOOKUP(A1534,[1]HD_price_daily!$A$8:$B$1768,2,0)</f>
        <v>337.93</v>
      </c>
      <c r="C1534">
        <f t="shared" si="92"/>
        <v>-1.4407793041094297E-2</v>
      </c>
      <c r="D1534" s="1" t="str">
        <f t="shared" ca="1" si="93"/>
        <v>=B1534/B1533-1</v>
      </c>
      <c r="E1534" s="8">
        <f>VLOOKUP(A1534,'[1]S&amp;P500_DAILY'!$A$8:$B$1768,2,0)</f>
        <v>5061.82</v>
      </c>
      <c r="F1534" s="1">
        <f t="shared" si="94"/>
        <v>-1.2021290507689297E-2</v>
      </c>
      <c r="G1534" s="1" t="str">
        <f t="shared" ca="1" si="95"/>
        <v>=E1534/E1533-1</v>
      </c>
    </row>
    <row r="1535" spans="1:7">
      <c r="A1535" s="14">
        <v>45398</v>
      </c>
      <c r="B1535" s="11">
        <f>VLOOKUP(A1535,[1]HD_price_daily!$A$8:$B$1768,2,0)</f>
        <v>334.83</v>
      </c>
      <c r="C1535">
        <f t="shared" si="92"/>
        <v>-9.1734974698902683E-3</v>
      </c>
      <c r="D1535" s="1" t="str">
        <f t="shared" ca="1" si="93"/>
        <v>=B1535/B1534-1</v>
      </c>
      <c r="E1535" s="8">
        <f>VLOOKUP(A1535,'[1]S&amp;P500_DAILY'!$A$8:$B$1768,2,0)</f>
        <v>5051.41</v>
      </c>
      <c r="F1535" s="1">
        <f t="shared" si="94"/>
        <v>-2.056572537150636E-3</v>
      </c>
      <c r="G1535" s="1" t="str">
        <f t="shared" ca="1" si="95"/>
        <v>=E1535/E1534-1</v>
      </c>
    </row>
    <row r="1536" spans="1:7">
      <c r="A1536" s="14">
        <v>45399</v>
      </c>
      <c r="B1536" s="11">
        <f>VLOOKUP(A1536,[1]HD_price_daily!$A$8:$B$1768,2,0)</f>
        <v>332.83</v>
      </c>
      <c r="C1536">
        <f t="shared" si="92"/>
        <v>-5.9731804199145699E-3</v>
      </c>
      <c r="D1536" s="1" t="str">
        <f t="shared" ca="1" si="93"/>
        <v>=B1536/B1535-1</v>
      </c>
      <c r="E1536" s="8">
        <f>VLOOKUP(A1536,'[1]S&amp;P500_DAILY'!$A$8:$B$1768,2,0)</f>
        <v>5022.21</v>
      </c>
      <c r="F1536" s="1">
        <f t="shared" si="94"/>
        <v>-5.780564238499708E-3</v>
      </c>
      <c r="G1536" s="1" t="str">
        <f t="shared" ca="1" si="95"/>
        <v>=E1536/E1535-1</v>
      </c>
    </row>
    <row r="1537" spans="1:7">
      <c r="A1537" s="14">
        <v>45400</v>
      </c>
      <c r="B1537" s="11">
        <f>VLOOKUP(A1537,[1]HD_price_daily!$A$8:$B$1768,2,0)</f>
        <v>332.89</v>
      </c>
      <c r="C1537">
        <f t="shared" si="92"/>
        <v>1.8027221103866786E-4</v>
      </c>
      <c r="D1537" s="1" t="str">
        <f t="shared" ca="1" si="93"/>
        <v>=B1537/B1536-1</v>
      </c>
      <c r="E1537" s="8">
        <f>VLOOKUP(A1537,'[1]S&amp;P500_DAILY'!$A$8:$B$1768,2,0)</f>
        <v>5011.12</v>
      </c>
      <c r="F1537" s="1">
        <f t="shared" si="94"/>
        <v>-2.2081912146246774E-3</v>
      </c>
      <c r="G1537" s="1" t="str">
        <f t="shared" ca="1" si="95"/>
        <v>=E1537/E1536-1</v>
      </c>
    </row>
    <row r="1538" spans="1:7">
      <c r="A1538" s="14">
        <v>45401</v>
      </c>
      <c r="B1538" s="11">
        <f>VLOOKUP(A1538,[1]HD_price_daily!$A$8:$B$1768,2,0)</f>
        <v>335.36</v>
      </c>
      <c r="C1538">
        <f t="shared" si="92"/>
        <v>7.4198684250053049E-3</v>
      </c>
      <c r="D1538" s="1" t="str">
        <f t="shared" ca="1" si="93"/>
        <v>=B1538/B1537-1</v>
      </c>
      <c r="E1538" s="8">
        <f>VLOOKUP(A1538,'[1]S&amp;P500_DAILY'!$A$8:$B$1768,2,0)</f>
        <v>4967.2299999999996</v>
      </c>
      <c r="F1538" s="1">
        <f t="shared" si="94"/>
        <v>-8.7585210491867294E-3</v>
      </c>
      <c r="G1538" s="1" t="str">
        <f t="shared" ca="1" si="95"/>
        <v>=E1538/E1537-1</v>
      </c>
    </row>
    <row r="1539" spans="1:7">
      <c r="A1539" s="14">
        <v>45404</v>
      </c>
      <c r="B1539" s="11">
        <f>VLOOKUP(A1539,[1]HD_price_daily!$A$8:$B$1768,2,0)</f>
        <v>336.11</v>
      </c>
      <c r="C1539">
        <f t="shared" si="92"/>
        <v>2.2364026717556218E-3</v>
      </c>
      <c r="D1539" s="1" t="str">
        <f t="shared" ca="1" si="93"/>
        <v>=B1539/B1538-1</v>
      </c>
      <c r="E1539" s="8">
        <f>VLOOKUP(A1539,'[1]S&amp;P500_DAILY'!$A$8:$B$1768,2,0)</f>
        <v>5010.6000000000004</v>
      </c>
      <c r="F1539" s="1">
        <f t="shared" si="94"/>
        <v>8.7312244450128418E-3</v>
      </c>
      <c r="G1539" s="1" t="str">
        <f t="shared" ca="1" si="95"/>
        <v>=E1539/E1538-1</v>
      </c>
    </row>
    <row r="1540" spans="1:7">
      <c r="A1540" s="14">
        <v>45405</v>
      </c>
      <c r="B1540" s="11">
        <f>VLOOKUP(A1540,[1]HD_price_daily!$A$8:$B$1768,2,0)</f>
        <v>339</v>
      </c>
      <c r="C1540">
        <f t="shared" ref="C1540:C1603" si="96">B1540/B1539-1</f>
        <v>8.5983755318199684E-3</v>
      </c>
      <c r="D1540" s="1" t="str">
        <f t="shared" ref="D1540:D1603" ca="1" si="97">_xlfn.FORMULATEXT(C1540)</f>
        <v>=B1540/B1539-1</v>
      </c>
      <c r="E1540" s="8">
        <f>VLOOKUP(A1540,'[1]S&amp;P500_DAILY'!$A$8:$B$1768,2,0)</f>
        <v>5070.55</v>
      </c>
      <c r="F1540" s="1">
        <f t="shared" ref="F1540:F1603" si="98">E1540/E1539-1</f>
        <v>1.1964634973855359E-2</v>
      </c>
      <c r="G1540" s="1" t="str">
        <f t="shared" ref="G1540:G1603" ca="1" si="99">_xlfn.FORMULATEXT(F1540)</f>
        <v>=E1540/E1539-1</v>
      </c>
    </row>
    <row r="1541" spans="1:7">
      <c r="A1541" s="14">
        <v>45406</v>
      </c>
      <c r="B1541" s="11">
        <f>VLOOKUP(A1541,[1]HD_price_daily!$A$8:$B$1768,2,0)</f>
        <v>333.01</v>
      </c>
      <c r="C1541">
        <f t="shared" si="96"/>
        <v>-1.7669616519174092E-2</v>
      </c>
      <c r="D1541" s="1" t="str">
        <f t="shared" ca="1" si="97"/>
        <v>=B1541/B1540-1</v>
      </c>
      <c r="E1541" s="8">
        <f>VLOOKUP(A1541,'[1]S&amp;P500_DAILY'!$A$8:$B$1768,2,0)</f>
        <v>5071.63</v>
      </c>
      <c r="F1541" s="1">
        <f t="shared" si="98"/>
        <v>2.129946455513565E-4</v>
      </c>
      <c r="G1541" s="1" t="str">
        <f t="shared" ca="1" si="99"/>
        <v>=E1541/E1540-1</v>
      </c>
    </row>
    <row r="1542" spans="1:7">
      <c r="A1542" s="14">
        <v>45407</v>
      </c>
      <c r="B1542" s="11">
        <f>VLOOKUP(A1542,[1]HD_price_daily!$A$8:$B$1768,2,0)</f>
        <v>331.98</v>
      </c>
      <c r="C1542">
        <f t="shared" si="96"/>
        <v>-3.0930002102038667E-3</v>
      </c>
      <c r="D1542" s="1" t="str">
        <f t="shared" ca="1" si="97"/>
        <v>=B1542/B1541-1</v>
      </c>
      <c r="E1542" s="8">
        <f>VLOOKUP(A1542,'[1]S&amp;P500_DAILY'!$A$8:$B$1768,2,0)</f>
        <v>5048.42</v>
      </c>
      <c r="F1542" s="1">
        <f t="shared" si="98"/>
        <v>-4.5764379499293462E-3</v>
      </c>
      <c r="G1542" s="1" t="str">
        <f t="shared" ca="1" si="99"/>
        <v>=E1542/E1541-1</v>
      </c>
    </row>
    <row r="1543" spans="1:7">
      <c r="A1543" s="14">
        <v>45408</v>
      </c>
      <c r="B1543" s="11">
        <f>VLOOKUP(A1543,[1]HD_price_daily!$A$8:$B$1768,2,0)</f>
        <v>335.09</v>
      </c>
      <c r="C1543">
        <f t="shared" si="96"/>
        <v>9.3680342189286225E-3</v>
      </c>
      <c r="D1543" s="1" t="str">
        <f t="shared" ca="1" si="97"/>
        <v>=B1543/B1542-1</v>
      </c>
      <c r="E1543" s="8">
        <f>VLOOKUP(A1543,'[1]S&amp;P500_DAILY'!$A$8:$B$1768,2,0)</f>
        <v>5099.96</v>
      </c>
      <c r="F1543" s="1">
        <f t="shared" si="98"/>
        <v>1.0209134739185721E-2</v>
      </c>
      <c r="G1543" s="1" t="str">
        <f t="shared" ca="1" si="99"/>
        <v>=E1543/E1542-1</v>
      </c>
    </row>
    <row r="1544" spans="1:7">
      <c r="A1544" s="14">
        <v>45411</v>
      </c>
      <c r="B1544" s="11">
        <f>VLOOKUP(A1544,[1]HD_price_daily!$A$8:$B$1768,2,0)</f>
        <v>336.8</v>
      </c>
      <c r="C1544">
        <f t="shared" si="96"/>
        <v>5.1031066280702309E-3</v>
      </c>
      <c r="D1544" s="1" t="str">
        <f t="shared" ca="1" si="97"/>
        <v>=B1544/B1543-1</v>
      </c>
      <c r="E1544" s="8">
        <f>VLOOKUP(A1544,'[1]S&amp;P500_DAILY'!$A$8:$B$1768,2,0)</f>
        <v>5116.17</v>
      </c>
      <c r="F1544" s="1">
        <f t="shared" si="98"/>
        <v>3.178456301617949E-3</v>
      </c>
      <c r="G1544" s="1" t="str">
        <f t="shared" ca="1" si="99"/>
        <v>=E1544/E1543-1</v>
      </c>
    </row>
    <row r="1545" spans="1:7">
      <c r="A1545" s="14">
        <v>45412</v>
      </c>
      <c r="B1545" s="11">
        <f>VLOOKUP(A1545,[1]HD_price_daily!$A$8:$B$1768,2,0)</f>
        <v>334.22</v>
      </c>
      <c r="C1545">
        <f t="shared" si="96"/>
        <v>-7.660332541567616E-3</v>
      </c>
      <c r="D1545" s="1" t="str">
        <f t="shared" ca="1" si="97"/>
        <v>=B1545/B1544-1</v>
      </c>
      <c r="E1545" s="8">
        <f>VLOOKUP(A1545,'[1]S&amp;P500_DAILY'!$A$8:$B$1768,2,0)</f>
        <v>5035.6899999999996</v>
      </c>
      <c r="F1545" s="1">
        <f t="shared" si="98"/>
        <v>-1.5730517164206925E-2</v>
      </c>
      <c r="G1545" s="1" t="str">
        <f t="shared" ca="1" si="99"/>
        <v>=E1545/E1544-1</v>
      </c>
    </row>
    <row r="1546" spans="1:7">
      <c r="A1546" s="14">
        <v>45413</v>
      </c>
      <c r="B1546" s="11">
        <f>VLOOKUP(A1546,[1]HD_price_daily!$A$8:$B$1768,2,0)</f>
        <v>331.97</v>
      </c>
      <c r="C1546">
        <f t="shared" si="96"/>
        <v>-6.732092633594644E-3</v>
      </c>
      <c r="D1546" s="1" t="str">
        <f t="shared" ca="1" si="97"/>
        <v>=B1546/B1545-1</v>
      </c>
      <c r="E1546" s="8">
        <f>VLOOKUP(A1546,'[1]S&amp;P500_DAILY'!$A$8:$B$1768,2,0)</f>
        <v>5018.3900000000003</v>
      </c>
      <c r="F1546" s="1">
        <f t="shared" si="98"/>
        <v>-3.4354775611682431E-3</v>
      </c>
      <c r="G1546" s="1" t="str">
        <f t="shared" ca="1" si="99"/>
        <v>=E1546/E1545-1</v>
      </c>
    </row>
    <row r="1547" spans="1:7">
      <c r="A1547" s="14">
        <v>45414</v>
      </c>
      <c r="B1547" s="11">
        <f>VLOOKUP(A1547,[1]HD_price_daily!$A$8:$B$1768,2,0)</f>
        <v>335.53</v>
      </c>
      <c r="C1547">
        <f t="shared" si="96"/>
        <v>1.0723860589812118E-2</v>
      </c>
      <c r="D1547" s="1" t="str">
        <f t="shared" ca="1" si="97"/>
        <v>=B1547/B1546-1</v>
      </c>
      <c r="E1547" s="8">
        <f>VLOOKUP(A1547,'[1]S&amp;P500_DAILY'!$A$8:$B$1768,2,0)</f>
        <v>5064.2</v>
      </c>
      <c r="F1547" s="1">
        <f t="shared" si="98"/>
        <v>9.1284256504575723E-3</v>
      </c>
      <c r="G1547" s="1" t="str">
        <f t="shared" ca="1" si="99"/>
        <v>=E1547/E1546-1</v>
      </c>
    </row>
    <row r="1548" spans="1:7">
      <c r="A1548" s="14">
        <v>45415</v>
      </c>
      <c r="B1548" s="11">
        <f>VLOOKUP(A1548,[1]HD_price_daily!$A$8:$B$1768,2,0)</f>
        <v>342.85</v>
      </c>
      <c r="C1548">
        <f t="shared" si="96"/>
        <v>2.1816231037463218E-2</v>
      </c>
      <c r="D1548" s="1" t="str">
        <f t="shared" ca="1" si="97"/>
        <v>=B1548/B1547-1</v>
      </c>
      <c r="E1548" s="8">
        <f>VLOOKUP(A1548,'[1]S&amp;P500_DAILY'!$A$8:$B$1768,2,0)</f>
        <v>5127.79</v>
      </c>
      <c r="F1548" s="1">
        <f t="shared" si="98"/>
        <v>1.2556771059594851E-2</v>
      </c>
      <c r="G1548" s="1" t="str">
        <f t="shared" ca="1" si="99"/>
        <v>=E1548/E1547-1</v>
      </c>
    </row>
    <row r="1549" spans="1:7">
      <c r="A1549" s="14">
        <v>45418</v>
      </c>
      <c r="B1549" s="11">
        <f>VLOOKUP(A1549,[1]HD_price_daily!$A$8:$B$1768,2,0)</f>
        <v>342.29</v>
      </c>
      <c r="C1549">
        <f t="shared" si="96"/>
        <v>-1.6333673618200706E-3</v>
      </c>
      <c r="D1549" s="1" t="str">
        <f t="shared" ca="1" si="97"/>
        <v>=B1549/B1548-1</v>
      </c>
      <c r="E1549" s="8">
        <f>VLOOKUP(A1549,'[1]S&amp;P500_DAILY'!$A$8:$B$1768,2,0)</f>
        <v>5180.74</v>
      </c>
      <c r="F1549" s="1">
        <f t="shared" si="98"/>
        <v>1.0326085896653403E-2</v>
      </c>
      <c r="G1549" s="1" t="str">
        <f t="shared" ca="1" si="99"/>
        <v>=E1549/E1548-1</v>
      </c>
    </row>
    <row r="1550" spans="1:7">
      <c r="A1550" s="14">
        <v>45419</v>
      </c>
      <c r="B1550" s="11">
        <f>VLOOKUP(A1550,[1]HD_price_daily!$A$8:$B$1768,2,0)</f>
        <v>340.69</v>
      </c>
      <c r="C1550">
        <f t="shared" si="96"/>
        <v>-4.6743989015163301E-3</v>
      </c>
      <c r="D1550" s="1" t="str">
        <f t="shared" ca="1" si="97"/>
        <v>=B1550/B1549-1</v>
      </c>
      <c r="E1550" s="8">
        <f>VLOOKUP(A1550,'[1]S&amp;P500_DAILY'!$A$8:$B$1768,2,0)</f>
        <v>5187.7</v>
      </c>
      <c r="F1550" s="1">
        <f t="shared" si="98"/>
        <v>1.3434374239973401E-3</v>
      </c>
      <c r="G1550" s="1" t="str">
        <f t="shared" ca="1" si="99"/>
        <v>=E1550/E1549-1</v>
      </c>
    </row>
    <row r="1551" spans="1:7">
      <c r="A1551" s="14">
        <v>45420</v>
      </c>
      <c r="B1551" s="11">
        <f>VLOOKUP(A1551,[1]HD_price_daily!$A$8:$B$1768,2,0)</f>
        <v>338.83</v>
      </c>
      <c r="C1551">
        <f t="shared" si="96"/>
        <v>-5.4595086442220664E-3</v>
      </c>
      <c r="D1551" s="1" t="str">
        <f t="shared" ca="1" si="97"/>
        <v>=B1551/B1550-1</v>
      </c>
      <c r="E1551" s="8">
        <f>VLOOKUP(A1551,'[1]S&amp;P500_DAILY'!$A$8:$B$1768,2,0)</f>
        <v>5187.67</v>
      </c>
      <c r="F1551" s="1">
        <f t="shared" si="98"/>
        <v>-5.7829095745365322E-6</v>
      </c>
      <c r="G1551" s="1" t="str">
        <f t="shared" ca="1" si="99"/>
        <v>=E1551/E1550-1</v>
      </c>
    </row>
    <row r="1552" spans="1:7">
      <c r="A1552" s="14">
        <v>45421</v>
      </c>
      <c r="B1552" s="11">
        <f>VLOOKUP(A1552,[1]HD_price_daily!$A$8:$B$1768,2,0)</f>
        <v>347.44</v>
      </c>
      <c r="C1552">
        <f t="shared" si="96"/>
        <v>2.5410973054334152E-2</v>
      </c>
      <c r="D1552" s="1" t="str">
        <f t="shared" ca="1" si="97"/>
        <v>=B1552/B1551-1</v>
      </c>
      <c r="E1552" s="8">
        <f>VLOOKUP(A1552,'[1]S&amp;P500_DAILY'!$A$8:$B$1768,2,0)</f>
        <v>5214.08</v>
      </c>
      <c r="F1552" s="1">
        <f t="shared" si="98"/>
        <v>5.0909175024624886E-3</v>
      </c>
      <c r="G1552" s="1" t="str">
        <f t="shared" ca="1" si="99"/>
        <v>=E1552/E1551-1</v>
      </c>
    </row>
    <row r="1553" spans="1:7">
      <c r="A1553" s="14">
        <v>45422</v>
      </c>
      <c r="B1553" s="11">
        <f>VLOOKUP(A1553,[1]HD_price_daily!$A$8:$B$1768,2,0)</f>
        <v>346.43</v>
      </c>
      <c r="C1553">
        <f t="shared" si="96"/>
        <v>-2.9069767441860517E-3</v>
      </c>
      <c r="D1553" s="1" t="str">
        <f t="shared" ca="1" si="97"/>
        <v>=B1553/B1552-1</v>
      </c>
      <c r="E1553" s="8">
        <f>VLOOKUP(A1553,'[1]S&amp;P500_DAILY'!$A$8:$B$1768,2,0)</f>
        <v>5222.68</v>
      </c>
      <c r="F1553" s="1">
        <f t="shared" si="98"/>
        <v>1.6493801399288799E-3</v>
      </c>
      <c r="G1553" s="1" t="str">
        <f t="shared" ca="1" si="99"/>
        <v>=E1553/E1552-1</v>
      </c>
    </row>
    <row r="1554" spans="1:7">
      <c r="A1554" s="14">
        <v>45425</v>
      </c>
      <c r="B1554" s="11">
        <f>VLOOKUP(A1554,[1]HD_price_daily!$A$8:$B$1768,2,0)</f>
        <v>340.96</v>
      </c>
      <c r="C1554">
        <f t="shared" si="96"/>
        <v>-1.5789625609791358E-2</v>
      </c>
      <c r="D1554" s="1" t="str">
        <f t="shared" ca="1" si="97"/>
        <v>=B1554/B1553-1</v>
      </c>
      <c r="E1554" s="8">
        <f>VLOOKUP(A1554,'[1]S&amp;P500_DAILY'!$A$8:$B$1768,2,0)</f>
        <v>5221.42</v>
      </c>
      <c r="F1554" s="1">
        <f t="shared" si="98"/>
        <v>-2.4125544739483917E-4</v>
      </c>
      <c r="G1554" s="1" t="str">
        <f t="shared" ca="1" si="99"/>
        <v>=E1554/E1553-1</v>
      </c>
    </row>
    <row r="1555" spans="1:7">
      <c r="A1555" s="14">
        <v>45426</v>
      </c>
      <c r="B1555" s="11">
        <f>VLOOKUP(A1555,[1]HD_price_daily!$A$8:$B$1768,2,0)</f>
        <v>340.5</v>
      </c>
      <c r="C1555">
        <f t="shared" si="96"/>
        <v>-1.3491318629750282E-3</v>
      </c>
      <c r="D1555" s="1" t="str">
        <f t="shared" ca="1" si="97"/>
        <v>=B1555/B1554-1</v>
      </c>
      <c r="E1555" s="8">
        <f>VLOOKUP(A1555,'[1]S&amp;P500_DAILY'!$A$8:$B$1768,2,0)</f>
        <v>5246.68</v>
      </c>
      <c r="F1555" s="1">
        <f t="shared" si="98"/>
        <v>4.8377644395585229E-3</v>
      </c>
      <c r="G1555" s="1" t="str">
        <f t="shared" ca="1" si="99"/>
        <v>=E1555/E1554-1</v>
      </c>
    </row>
    <row r="1556" spans="1:7">
      <c r="A1556" s="14">
        <v>45427</v>
      </c>
      <c r="B1556" s="11">
        <f>VLOOKUP(A1556,[1]HD_price_daily!$A$8:$B$1768,2,0)</f>
        <v>348.67</v>
      </c>
      <c r="C1556">
        <f t="shared" si="96"/>
        <v>2.3994126284875295E-2</v>
      </c>
      <c r="D1556" s="1" t="str">
        <f t="shared" ca="1" si="97"/>
        <v>=B1556/B1555-1</v>
      </c>
      <c r="E1556" s="8">
        <f>VLOOKUP(A1556,'[1]S&amp;P500_DAILY'!$A$8:$B$1768,2,0)</f>
        <v>5308.15</v>
      </c>
      <c r="F1556" s="1">
        <f t="shared" si="98"/>
        <v>1.1715980391409309E-2</v>
      </c>
      <c r="G1556" s="1" t="str">
        <f t="shared" ca="1" si="99"/>
        <v>=E1556/E1555-1</v>
      </c>
    </row>
    <row r="1557" spans="1:7">
      <c r="A1557" s="14">
        <v>45428</v>
      </c>
      <c r="B1557" s="11">
        <f>VLOOKUP(A1557,[1]HD_price_daily!$A$8:$B$1768,2,0)</f>
        <v>342.73</v>
      </c>
      <c r="C1557">
        <f t="shared" si="96"/>
        <v>-1.7036166002237119E-2</v>
      </c>
      <c r="D1557" s="1" t="str">
        <f t="shared" ca="1" si="97"/>
        <v>=B1557/B1556-1</v>
      </c>
      <c r="E1557" s="8">
        <f>VLOOKUP(A1557,'[1]S&amp;P500_DAILY'!$A$8:$B$1768,2,0)</f>
        <v>5297.1</v>
      </c>
      <c r="F1557" s="1">
        <f t="shared" si="98"/>
        <v>-2.0817045486656305E-3</v>
      </c>
      <c r="G1557" s="1" t="str">
        <f t="shared" ca="1" si="99"/>
        <v>=E1557/E1556-1</v>
      </c>
    </row>
    <row r="1558" spans="1:7">
      <c r="A1558" s="14">
        <v>45429</v>
      </c>
      <c r="B1558" s="11">
        <f>VLOOKUP(A1558,[1]HD_price_daily!$A$8:$B$1768,2,0)</f>
        <v>344.21</v>
      </c>
      <c r="C1558">
        <f t="shared" si="96"/>
        <v>4.31826802439228E-3</v>
      </c>
      <c r="D1558" s="1" t="str">
        <f t="shared" ca="1" si="97"/>
        <v>=B1558/B1557-1</v>
      </c>
      <c r="E1558" s="8">
        <f>VLOOKUP(A1558,'[1]S&amp;P500_DAILY'!$A$8:$B$1768,2,0)</f>
        <v>5303.27</v>
      </c>
      <c r="F1558" s="1">
        <f t="shared" si="98"/>
        <v>1.1647882803798026E-3</v>
      </c>
      <c r="G1558" s="1" t="str">
        <f t="shared" ca="1" si="99"/>
        <v>=E1558/E1557-1</v>
      </c>
    </row>
    <row r="1559" spans="1:7">
      <c r="A1559" s="14">
        <v>45432</v>
      </c>
      <c r="B1559" s="11">
        <f>VLOOKUP(A1559,[1]HD_price_daily!$A$8:$B$1768,2,0)</f>
        <v>337.82</v>
      </c>
      <c r="C1559">
        <f t="shared" si="96"/>
        <v>-1.8564248569187369E-2</v>
      </c>
      <c r="D1559" s="1" t="str">
        <f t="shared" ca="1" si="97"/>
        <v>=B1559/B1558-1</v>
      </c>
      <c r="E1559" s="8">
        <f>VLOOKUP(A1559,'[1]S&amp;P500_DAILY'!$A$8:$B$1768,2,0)</f>
        <v>5308.13</v>
      </c>
      <c r="F1559" s="1">
        <f t="shared" si="98"/>
        <v>9.1641572086653689E-4</v>
      </c>
      <c r="G1559" s="1" t="str">
        <f t="shared" ca="1" si="99"/>
        <v>=E1559/E1558-1</v>
      </c>
    </row>
    <row r="1560" spans="1:7">
      <c r="A1560" s="14">
        <v>45433</v>
      </c>
      <c r="B1560" s="11">
        <f>VLOOKUP(A1560,[1]HD_price_daily!$A$8:$B$1768,2,0)</f>
        <v>336.15</v>
      </c>
      <c r="C1560">
        <f t="shared" si="96"/>
        <v>-4.9434610147416347E-3</v>
      </c>
      <c r="D1560" s="1" t="str">
        <f t="shared" ca="1" si="97"/>
        <v>=B1560/B1559-1</v>
      </c>
      <c r="E1560" s="8">
        <f>VLOOKUP(A1560,'[1]S&amp;P500_DAILY'!$A$8:$B$1768,2,0)</f>
        <v>5321.41</v>
      </c>
      <c r="F1560" s="1">
        <f t="shared" si="98"/>
        <v>2.5018226757822504E-3</v>
      </c>
      <c r="G1560" s="1" t="str">
        <f t="shared" ca="1" si="99"/>
        <v>=E1560/E1559-1</v>
      </c>
    </row>
    <row r="1561" spans="1:7">
      <c r="A1561" s="14">
        <v>45434</v>
      </c>
      <c r="B1561" s="11">
        <f>VLOOKUP(A1561,[1]HD_price_daily!$A$8:$B$1768,2,0)</f>
        <v>330.59</v>
      </c>
      <c r="C1561">
        <f t="shared" si="96"/>
        <v>-1.65402350141306E-2</v>
      </c>
      <c r="D1561" s="1" t="str">
        <f t="shared" ca="1" si="97"/>
        <v>=B1561/B1560-1</v>
      </c>
      <c r="E1561" s="8">
        <f>VLOOKUP(A1561,'[1]S&amp;P500_DAILY'!$A$8:$B$1768,2,0)</f>
        <v>5307.01</v>
      </c>
      <c r="F1561" s="1">
        <f t="shared" si="98"/>
        <v>-2.7060497123881921E-3</v>
      </c>
      <c r="G1561" s="1" t="str">
        <f t="shared" ca="1" si="99"/>
        <v>=E1561/E1560-1</v>
      </c>
    </row>
    <row r="1562" spans="1:7">
      <c r="A1562" s="14">
        <v>45435</v>
      </c>
      <c r="B1562" s="11">
        <f>VLOOKUP(A1562,[1]HD_price_daily!$A$8:$B$1768,2,0)</f>
        <v>326.89</v>
      </c>
      <c r="C1562">
        <f t="shared" si="96"/>
        <v>-1.1192111074140088E-2</v>
      </c>
      <c r="D1562" s="1" t="str">
        <f t="shared" ca="1" si="97"/>
        <v>=B1562/B1561-1</v>
      </c>
      <c r="E1562" s="8">
        <f>VLOOKUP(A1562,'[1]S&amp;P500_DAILY'!$A$8:$B$1768,2,0)</f>
        <v>5267.84</v>
      </c>
      <c r="F1562" s="1">
        <f t="shared" si="98"/>
        <v>-7.3808038801509435E-3</v>
      </c>
      <c r="G1562" s="1" t="str">
        <f t="shared" ca="1" si="99"/>
        <v>=E1562/E1561-1</v>
      </c>
    </row>
    <row r="1563" spans="1:7">
      <c r="A1563" s="14">
        <v>45436</v>
      </c>
      <c r="B1563" s="11">
        <f>VLOOKUP(A1563,[1]HD_price_daily!$A$8:$B$1768,2,0)</f>
        <v>325.10000000000002</v>
      </c>
      <c r="C1563">
        <f t="shared" si="96"/>
        <v>-5.4758481446357532E-3</v>
      </c>
      <c r="D1563" s="1" t="str">
        <f t="shared" ca="1" si="97"/>
        <v>=B1563/B1562-1</v>
      </c>
      <c r="E1563" s="8">
        <f>VLOOKUP(A1563,'[1]S&amp;P500_DAILY'!$A$8:$B$1768,2,0)</f>
        <v>5304.72</v>
      </c>
      <c r="F1563" s="1">
        <f t="shared" si="98"/>
        <v>7.0009719353663069E-3</v>
      </c>
      <c r="G1563" s="1" t="str">
        <f t="shared" ca="1" si="99"/>
        <v>=E1563/E1562-1</v>
      </c>
    </row>
    <row r="1564" spans="1:7">
      <c r="A1564" s="14">
        <v>45440</v>
      </c>
      <c r="B1564" s="11">
        <f>VLOOKUP(A1564,[1]HD_price_daily!$A$8:$B$1768,2,0)</f>
        <v>328.7</v>
      </c>
      <c r="C1564">
        <f t="shared" si="96"/>
        <v>1.107351584127958E-2</v>
      </c>
      <c r="D1564" s="1" t="str">
        <f t="shared" ca="1" si="97"/>
        <v>=B1564/B1563-1</v>
      </c>
      <c r="E1564" s="8">
        <f>VLOOKUP(A1564,'[1]S&amp;P500_DAILY'!$A$8:$B$1768,2,0)</f>
        <v>5306.04</v>
      </c>
      <c r="F1564" s="1">
        <f t="shared" si="98"/>
        <v>2.4883499977379486E-4</v>
      </c>
      <c r="G1564" s="1" t="str">
        <f t="shared" ca="1" si="99"/>
        <v>=E1564/E1563-1</v>
      </c>
    </row>
    <row r="1565" spans="1:7">
      <c r="A1565" s="14">
        <v>45441</v>
      </c>
      <c r="B1565" s="11">
        <f>VLOOKUP(A1565,[1]HD_price_daily!$A$8:$B$1768,2,0)</f>
        <v>325.91000000000003</v>
      </c>
      <c r="C1565">
        <f t="shared" si="96"/>
        <v>-8.4879829631882009E-3</v>
      </c>
      <c r="D1565" s="1" t="str">
        <f t="shared" ca="1" si="97"/>
        <v>=B1565/B1564-1</v>
      </c>
      <c r="E1565" s="8">
        <f>VLOOKUP(A1565,'[1]S&amp;P500_DAILY'!$A$8:$B$1768,2,0)</f>
        <v>5266.95</v>
      </c>
      <c r="F1565" s="1">
        <f t="shared" si="98"/>
        <v>-7.3670760114887823E-3</v>
      </c>
      <c r="G1565" s="1" t="str">
        <f t="shared" ca="1" si="99"/>
        <v>=E1565/E1564-1</v>
      </c>
    </row>
    <row r="1566" spans="1:7">
      <c r="A1566" s="14">
        <v>45442</v>
      </c>
      <c r="B1566" s="11">
        <f>VLOOKUP(A1566,[1]HD_price_daily!$A$8:$B$1768,2,0)</f>
        <v>329.18</v>
      </c>
      <c r="C1566">
        <f t="shared" si="96"/>
        <v>1.0033444816053505E-2</v>
      </c>
      <c r="D1566" s="1" t="str">
        <f t="shared" ca="1" si="97"/>
        <v>=B1566/B1565-1</v>
      </c>
      <c r="E1566" s="8">
        <f>VLOOKUP(A1566,'[1]S&amp;P500_DAILY'!$A$8:$B$1768,2,0)</f>
        <v>5235.4799999999996</v>
      </c>
      <c r="F1566" s="1">
        <f t="shared" si="98"/>
        <v>-5.9749950160910004E-3</v>
      </c>
      <c r="G1566" s="1" t="str">
        <f t="shared" ca="1" si="99"/>
        <v>=E1566/E1565-1</v>
      </c>
    </row>
    <row r="1567" spans="1:7">
      <c r="A1567" s="14">
        <v>45443</v>
      </c>
      <c r="B1567" s="11">
        <f>VLOOKUP(A1567,[1]HD_price_daily!$A$8:$B$1768,2,0)</f>
        <v>334.87</v>
      </c>
      <c r="C1567">
        <f t="shared" si="96"/>
        <v>1.728537578224687E-2</v>
      </c>
      <c r="D1567" s="1" t="str">
        <f t="shared" ca="1" si="97"/>
        <v>=B1567/B1566-1</v>
      </c>
      <c r="E1567" s="8">
        <f>VLOOKUP(A1567,'[1]S&amp;P500_DAILY'!$A$8:$B$1768,2,0)</f>
        <v>5277.51</v>
      </c>
      <c r="F1567" s="1">
        <f t="shared" si="98"/>
        <v>8.0279172110295782E-3</v>
      </c>
      <c r="G1567" s="1" t="str">
        <f t="shared" ca="1" si="99"/>
        <v>=E1567/E1566-1</v>
      </c>
    </row>
    <row r="1568" spans="1:7">
      <c r="A1568" s="14">
        <v>45446</v>
      </c>
      <c r="B1568" s="11">
        <f>VLOOKUP(A1568,[1]HD_price_daily!$A$8:$B$1768,2,0)</f>
        <v>328.01</v>
      </c>
      <c r="C1568">
        <f t="shared" si="96"/>
        <v>-2.0485561561202847E-2</v>
      </c>
      <c r="D1568" s="1" t="str">
        <f t="shared" ca="1" si="97"/>
        <v>=B1568/B1567-1</v>
      </c>
      <c r="E1568" s="8">
        <f>VLOOKUP(A1568,'[1]S&amp;P500_DAILY'!$A$8:$B$1768,2,0)</f>
        <v>5283.4</v>
      </c>
      <c r="F1568" s="1">
        <f t="shared" si="98"/>
        <v>1.116056625188655E-3</v>
      </c>
      <c r="G1568" s="1" t="str">
        <f t="shared" ca="1" si="99"/>
        <v>=E1568/E1567-1</v>
      </c>
    </row>
    <row r="1569" spans="1:7">
      <c r="A1569" s="14">
        <v>45447</v>
      </c>
      <c r="B1569" s="11">
        <f>VLOOKUP(A1569,[1]HD_price_daily!$A$8:$B$1768,2,0)</f>
        <v>328.26</v>
      </c>
      <c r="C1569">
        <f t="shared" si="96"/>
        <v>7.6217188500349309E-4</v>
      </c>
      <c r="D1569" s="1" t="str">
        <f t="shared" ca="1" si="97"/>
        <v>=B1569/B1568-1</v>
      </c>
      <c r="E1569" s="8">
        <f>VLOOKUP(A1569,'[1]S&amp;P500_DAILY'!$A$8:$B$1768,2,0)</f>
        <v>5291.34</v>
      </c>
      <c r="F1569" s="1">
        <f t="shared" si="98"/>
        <v>1.5028201536890773E-3</v>
      </c>
      <c r="G1569" s="1" t="str">
        <f t="shared" ca="1" si="99"/>
        <v>=E1569/E1568-1</v>
      </c>
    </row>
    <row r="1570" spans="1:7">
      <c r="A1570" s="14">
        <v>45448</v>
      </c>
      <c r="B1570" s="11">
        <f>VLOOKUP(A1570,[1]HD_price_daily!$A$8:$B$1768,2,0)</f>
        <v>330.26</v>
      </c>
      <c r="C1570">
        <f t="shared" si="96"/>
        <v>6.0927313714738141E-3</v>
      </c>
      <c r="D1570" s="1" t="str">
        <f t="shared" ca="1" si="97"/>
        <v>=B1570/B1569-1</v>
      </c>
      <c r="E1570" s="8">
        <f>VLOOKUP(A1570,'[1]S&amp;P500_DAILY'!$A$8:$B$1768,2,0)</f>
        <v>5354.03</v>
      </c>
      <c r="F1570" s="1">
        <f t="shared" si="98"/>
        <v>1.1847660516995706E-2</v>
      </c>
      <c r="G1570" s="1" t="str">
        <f t="shared" ca="1" si="99"/>
        <v>=E1570/E1569-1</v>
      </c>
    </row>
    <row r="1571" spans="1:7">
      <c r="A1571" s="14">
        <v>45449</v>
      </c>
      <c r="B1571" s="11">
        <f>VLOOKUP(A1571,[1]HD_price_daily!$A$8:$B$1768,2,0)</f>
        <v>331.1</v>
      </c>
      <c r="C1571">
        <f t="shared" si="96"/>
        <v>2.5434506146673197E-3</v>
      </c>
      <c r="D1571" s="1" t="str">
        <f t="shared" ca="1" si="97"/>
        <v>=B1571/B1570-1</v>
      </c>
      <c r="E1571" s="8">
        <f>VLOOKUP(A1571,'[1]S&amp;P500_DAILY'!$A$8:$B$1768,2,0)</f>
        <v>5352.96</v>
      </c>
      <c r="F1571" s="1">
        <f t="shared" si="98"/>
        <v>-1.9984945919238051E-4</v>
      </c>
      <c r="G1571" s="1" t="str">
        <f t="shared" ca="1" si="99"/>
        <v>=E1571/E1570-1</v>
      </c>
    </row>
    <row r="1572" spans="1:7">
      <c r="A1572" s="14">
        <v>45450</v>
      </c>
      <c r="B1572" s="11">
        <f>VLOOKUP(A1572,[1]HD_price_daily!$A$8:$B$1768,2,0)</f>
        <v>327.02999999999997</v>
      </c>
      <c r="C1572">
        <f t="shared" si="96"/>
        <v>-1.2292358803986825E-2</v>
      </c>
      <c r="D1572" s="1" t="str">
        <f t="shared" ca="1" si="97"/>
        <v>=B1572/B1571-1</v>
      </c>
      <c r="E1572" s="8">
        <f>VLOOKUP(A1572,'[1]S&amp;P500_DAILY'!$A$8:$B$1768,2,0)</f>
        <v>5346.99</v>
      </c>
      <c r="F1572" s="1">
        <f t="shared" si="98"/>
        <v>-1.1152708034434244E-3</v>
      </c>
      <c r="G1572" s="1" t="str">
        <f t="shared" ca="1" si="99"/>
        <v>=E1572/E1571-1</v>
      </c>
    </row>
    <row r="1573" spans="1:7">
      <c r="A1573" s="14">
        <v>45453</v>
      </c>
      <c r="B1573" s="11">
        <f>VLOOKUP(A1573,[1]HD_price_daily!$A$8:$B$1768,2,0)</f>
        <v>332.56</v>
      </c>
      <c r="C1573">
        <f t="shared" si="96"/>
        <v>1.6909763630247987E-2</v>
      </c>
      <c r="D1573" s="1" t="str">
        <f t="shared" ca="1" si="97"/>
        <v>=B1573/B1572-1</v>
      </c>
      <c r="E1573" s="8">
        <f>VLOOKUP(A1573,'[1]S&amp;P500_DAILY'!$A$8:$B$1768,2,0)</f>
        <v>5360.79</v>
      </c>
      <c r="F1573" s="1">
        <f t="shared" si="98"/>
        <v>2.5808913052016713E-3</v>
      </c>
      <c r="G1573" s="1" t="str">
        <f t="shared" ca="1" si="99"/>
        <v>=E1573/E1572-1</v>
      </c>
    </row>
    <row r="1574" spans="1:7">
      <c r="A1574" s="14">
        <v>45454</v>
      </c>
      <c r="B1574" s="11">
        <f>VLOOKUP(A1574,[1]HD_price_daily!$A$8:$B$1768,2,0)</f>
        <v>335.72</v>
      </c>
      <c r="C1574">
        <f t="shared" si="96"/>
        <v>9.502044743805671E-3</v>
      </c>
      <c r="D1574" s="1" t="str">
        <f t="shared" ca="1" si="97"/>
        <v>=B1574/B1573-1</v>
      </c>
      <c r="E1574" s="8">
        <f>VLOOKUP(A1574,'[1]S&amp;P500_DAILY'!$A$8:$B$1768,2,0)</f>
        <v>5375.32</v>
      </c>
      <c r="F1574" s="1">
        <f t="shared" si="98"/>
        <v>2.7104214117694703E-3</v>
      </c>
      <c r="G1574" s="1" t="str">
        <f t="shared" ca="1" si="99"/>
        <v>=E1574/E1573-1</v>
      </c>
    </row>
    <row r="1575" spans="1:7">
      <c r="A1575" s="14">
        <v>45455</v>
      </c>
      <c r="B1575" s="11">
        <f>VLOOKUP(A1575,[1]HD_price_daily!$A$8:$B$1768,2,0)</f>
        <v>344.14</v>
      </c>
      <c r="C1575">
        <f t="shared" si="96"/>
        <v>2.5080424162992943E-2</v>
      </c>
      <c r="D1575" s="1" t="str">
        <f t="shared" ca="1" si="97"/>
        <v>=B1575/B1574-1</v>
      </c>
      <c r="E1575" s="8">
        <f>VLOOKUP(A1575,'[1]S&amp;P500_DAILY'!$A$8:$B$1768,2,0)</f>
        <v>5421.03</v>
      </c>
      <c r="F1575" s="1">
        <f t="shared" si="98"/>
        <v>8.503679780924589E-3</v>
      </c>
      <c r="G1575" s="1" t="str">
        <f t="shared" ca="1" si="99"/>
        <v>=E1575/E1574-1</v>
      </c>
    </row>
    <row r="1576" spans="1:7">
      <c r="A1576" s="14">
        <v>45456</v>
      </c>
      <c r="B1576" s="11">
        <f>VLOOKUP(A1576,[1]HD_price_daily!$A$8:$B$1768,2,0)</f>
        <v>347.88</v>
      </c>
      <c r="C1576">
        <f t="shared" si="96"/>
        <v>1.0867670134247609E-2</v>
      </c>
      <c r="D1576" s="1" t="str">
        <f t="shared" ca="1" si="97"/>
        <v>=B1576/B1575-1</v>
      </c>
      <c r="E1576" s="8">
        <f>VLOOKUP(A1576,'[1]S&amp;P500_DAILY'!$A$8:$B$1768,2,0)</f>
        <v>5433.74</v>
      </c>
      <c r="F1576" s="1">
        <f t="shared" si="98"/>
        <v>2.3445728948188194E-3</v>
      </c>
      <c r="G1576" s="1" t="str">
        <f t="shared" ca="1" si="99"/>
        <v>=E1576/E1575-1</v>
      </c>
    </row>
    <row r="1577" spans="1:7">
      <c r="A1577" s="14">
        <v>45457</v>
      </c>
      <c r="B1577" s="11">
        <f>VLOOKUP(A1577,[1]HD_price_daily!$A$8:$B$1768,2,0)</f>
        <v>346.84</v>
      </c>
      <c r="C1577">
        <f t="shared" si="96"/>
        <v>-2.989536621823663E-3</v>
      </c>
      <c r="D1577" s="1" t="str">
        <f t="shared" ca="1" si="97"/>
        <v>=B1577/B1576-1</v>
      </c>
      <c r="E1577" s="8">
        <f>VLOOKUP(A1577,'[1]S&amp;P500_DAILY'!$A$8:$B$1768,2,0)</f>
        <v>5431.6</v>
      </c>
      <c r="F1577" s="1">
        <f t="shared" si="98"/>
        <v>-3.9383555341243603E-4</v>
      </c>
      <c r="G1577" s="1" t="str">
        <f t="shared" ca="1" si="99"/>
        <v>=E1577/E1576-1</v>
      </c>
    </row>
    <row r="1578" spans="1:7">
      <c r="A1578" s="14">
        <v>45460</v>
      </c>
      <c r="B1578" s="11">
        <f>VLOOKUP(A1578,[1]HD_price_daily!$A$8:$B$1768,2,0)</f>
        <v>349.5</v>
      </c>
      <c r="C1578">
        <f t="shared" si="96"/>
        <v>7.6692423019260048E-3</v>
      </c>
      <c r="D1578" s="1" t="str">
        <f t="shared" ca="1" si="97"/>
        <v>=B1578/B1577-1</v>
      </c>
      <c r="E1578" s="8">
        <f>VLOOKUP(A1578,'[1]S&amp;P500_DAILY'!$A$8:$B$1768,2,0)</f>
        <v>5473.23</v>
      </c>
      <c r="F1578" s="1">
        <f t="shared" si="98"/>
        <v>7.6644082774870448E-3</v>
      </c>
      <c r="G1578" s="1" t="str">
        <f t="shared" ca="1" si="99"/>
        <v>=E1578/E1577-1</v>
      </c>
    </row>
    <row r="1579" spans="1:7">
      <c r="A1579" s="14">
        <v>45461</v>
      </c>
      <c r="B1579" s="11">
        <f>VLOOKUP(A1579,[1]HD_price_daily!$A$8:$B$1768,2,0)</f>
        <v>353.87</v>
      </c>
      <c r="C1579">
        <f t="shared" si="96"/>
        <v>1.2503576537911343E-2</v>
      </c>
      <c r="D1579" s="1" t="str">
        <f t="shared" ca="1" si="97"/>
        <v>=B1579/B1578-1</v>
      </c>
      <c r="E1579" s="8">
        <f>VLOOKUP(A1579,'[1]S&amp;P500_DAILY'!$A$8:$B$1768,2,0)</f>
        <v>5487.03</v>
      </c>
      <c r="F1579" s="1">
        <f t="shared" si="98"/>
        <v>2.5213630708009749E-3</v>
      </c>
      <c r="G1579" s="1" t="str">
        <f t="shared" ca="1" si="99"/>
        <v>=E1579/E1578-1</v>
      </c>
    </row>
    <row r="1580" spans="1:7">
      <c r="A1580" s="14">
        <v>45463</v>
      </c>
      <c r="B1580" s="11">
        <f>VLOOKUP(A1580,[1]HD_price_daily!$A$8:$B$1768,2,0)</f>
        <v>353.44</v>
      </c>
      <c r="C1580">
        <f t="shared" si="96"/>
        <v>-1.2151355017379073E-3</v>
      </c>
      <c r="D1580" s="1" t="str">
        <f t="shared" ca="1" si="97"/>
        <v>=B1580/B1579-1</v>
      </c>
      <c r="E1580" s="8">
        <f>VLOOKUP(A1580,'[1]S&amp;P500_DAILY'!$A$8:$B$1768,2,0)</f>
        <v>5473.17</v>
      </c>
      <c r="F1580" s="1">
        <f t="shared" si="98"/>
        <v>-2.5259566650810417E-3</v>
      </c>
      <c r="G1580" s="1" t="str">
        <f t="shared" ca="1" si="99"/>
        <v>=E1580/E1579-1</v>
      </c>
    </row>
    <row r="1581" spans="1:7">
      <c r="A1581" s="14">
        <v>45464</v>
      </c>
      <c r="B1581" s="11">
        <f>VLOOKUP(A1581,[1]HD_price_daily!$A$8:$B$1768,2,0)</f>
        <v>355.8</v>
      </c>
      <c r="C1581">
        <f t="shared" si="96"/>
        <v>6.6772295156178885E-3</v>
      </c>
      <c r="D1581" s="1" t="str">
        <f t="shared" ca="1" si="97"/>
        <v>=B1581/B1580-1</v>
      </c>
      <c r="E1581" s="8">
        <f>VLOOKUP(A1581,'[1]S&amp;P500_DAILY'!$A$8:$B$1768,2,0)</f>
        <v>5464.62</v>
      </c>
      <c r="F1581" s="1">
        <f t="shared" si="98"/>
        <v>-1.5621659842468549E-3</v>
      </c>
      <c r="G1581" s="1" t="str">
        <f t="shared" ca="1" si="99"/>
        <v>=E1581/E1580-1</v>
      </c>
    </row>
    <row r="1582" spans="1:7">
      <c r="A1582" s="14">
        <v>45467</v>
      </c>
      <c r="B1582" s="11">
        <f>VLOOKUP(A1582,[1]HD_price_daily!$A$8:$B$1768,2,0)</f>
        <v>350.88</v>
      </c>
      <c r="C1582">
        <f t="shared" si="96"/>
        <v>-1.3827993254637461E-2</v>
      </c>
      <c r="D1582" s="1" t="str">
        <f t="shared" ca="1" si="97"/>
        <v>=B1582/B1581-1</v>
      </c>
      <c r="E1582" s="8">
        <f>VLOOKUP(A1582,'[1]S&amp;P500_DAILY'!$A$8:$B$1768,2,0)</f>
        <v>5447.87</v>
      </c>
      <c r="F1582" s="1">
        <f t="shared" si="98"/>
        <v>-3.0651719607218686E-3</v>
      </c>
      <c r="G1582" s="1" t="str">
        <f t="shared" ca="1" si="99"/>
        <v>=E1582/E1581-1</v>
      </c>
    </row>
    <row r="1583" spans="1:7">
      <c r="A1583" s="14">
        <v>45468</v>
      </c>
      <c r="B1583" s="11">
        <f>VLOOKUP(A1583,[1]HD_price_daily!$A$8:$B$1768,2,0)</f>
        <v>338.32</v>
      </c>
      <c r="C1583">
        <f t="shared" si="96"/>
        <v>-3.5795713634290904E-2</v>
      </c>
      <c r="D1583" s="1" t="str">
        <f t="shared" ca="1" si="97"/>
        <v>=B1583/B1582-1</v>
      </c>
      <c r="E1583" s="8">
        <f>VLOOKUP(A1583,'[1]S&amp;P500_DAILY'!$A$8:$B$1768,2,0)</f>
        <v>5469.3</v>
      </c>
      <c r="F1583" s="1">
        <f t="shared" si="98"/>
        <v>3.9336474622191364E-3</v>
      </c>
      <c r="G1583" s="1" t="str">
        <f t="shared" ca="1" si="99"/>
        <v>=E1583/E1582-1</v>
      </c>
    </row>
    <row r="1584" spans="1:7">
      <c r="A1584" s="14">
        <v>45469</v>
      </c>
      <c r="B1584" s="11">
        <f>VLOOKUP(A1584,[1]HD_price_daily!$A$8:$B$1768,2,0)</f>
        <v>341.82</v>
      </c>
      <c r="C1584">
        <f t="shared" si="96"/>
        <v>1.0345235280208032E-2</v>
      </c>
      <c r="D1584" s="1" t="str">
        <f t="shared" ca="1" si="97"/>
        <v>=B1584/B1583-1</v>
      </c>
      <c r="E1584" s="8">
        <f>VLOOKUP(A1584,'[1]S&amp;P500_DAILY'!$A$8:$B$1768,2,0)</f>
        <v>5477.9</v>
      </c>
      <c r="F1584" s="1">
        <f t="shared" si="98"/>
        <v>1.5724132887204867E-3</v>
      </c>
      <c r="G1584" s="1" t="str">
        <f t="shared" ca="1" si="99"/>
        <v>=E1584/E1583-1</v>
      </c>
    </row>
    <row r="1585" spans="1:7">
      <c r="A1585" s="14">
        <v>45470</v>
      </c>
      <c r="B1585" s="11">
        <f>VLOOKUP(A1585,[1]HD_price_daily!$A$8:$B$1768,2,0)</f>
        <v>341.49</v>
      </c>
      <c r="C1585">
        <f t="shared" si="96"/>
        <v>-9.6542039670000079E-4</v>
      </c>
      <c r="D1585" s="1" t="str">
        <f t="shared" ca="1" si="97"/>
        <v>=B1585/B1584-1</v>
      </c>
      <c r="E1585" s="8">
        <f>VLOOKUP(A1585,'[1]S&amp;P500_DAILY'!$A$8:$B$1768,2,0)</f>
        <v>5482.87</v>
      </c>
      <c r="F1585" s="1">
        <f t="shared" si="98"/>
        <v>9.0728198762302092E-4</v>
      </c>
      <c r="G1585" s="1" t="str">
        <f t="shared" ca="1" si="99"/>
        <v>=E1585/E1584-1</v>
      </c>
    </row>
    <row r="1586" spans="1:7">
      <c r="A1586" s="14">
        <v>45471</v>
      </c>
      <c r="B1586" s="11">
        <f>VLOOKUP(A1586,[1]HD_price_daily!$A$8:$B$1768,2,0)</f>
        <v>344.24</v>
      </c>
      <c r="C1586">
        <f t="shared" si="96"/>
        <v>8.0529444493249169E-3</v>
      </c>
      <c r="D1586" s="1" t="str">
        <f t="shared" ca="1" si="97"/>
        <v>=B1586/B1585-1</v>
      </c>
      <c r="E1586" s="8">
        <f>VLOOKUP(A1586,'[1]S&amp;P500_DAILY'!$A$8:$B$1768,2,0)</f>
        <v>5460.48</v>
      </c>
      <c r="F1586" s="1">
        <f t="shared" si="98"/>
        <v>-4.0836277351096184E-3</v>
      </c>
      <c r="G1586" s="1" t="str">
        <f t="shared" ca="1" si="99"/>
        <v>=E1586/E1585-1</v>
      </c>
    </row>
    <row r="1587" spans="1:7">
      <c r="A1587" s="14">
        <v>45474</v>
      </c>
      <c r="B1587" s="11">
        <f>VLOOKUP(A1587,[1]HD_price_daily!$A$8:$B$1768,2,0)</f>
        <v>336.19</v>
      </c>
      <c r="C1587">
        <f t="shared" si="96"/>
        <v>-2.3384847780618223E-2</v>
      </c>
      <c r="D1587" s="1" t="str">
        <f t="shared" ca="1" si="97"/>
        <v>=B1587/B1586-1</v>
      </c>
      <c r="E1587" s="8">
        <f>VLOOKUP(A1587,'[1]S&amp;P500_DAILY'!$A$8:$B$1768,2,0)</f>
        <v>5475.09</v>
      </c>
      <c r="F1587" s="1">
        <f t="shared" si="98"/>
        <v>2.6755889592124937E-3</v>
      </c>
      <c r="G1587" s="1" t="str">
        <f t="shared" ca="1" si="99"/>
        <v>=E1587/E1586-1</v>
      </c>
    </row>
    <row r="1588" spans="1:7">
      <c r="A1588" s="14">
        <v>45475</v>
      </c>
      <c r="B1588" s="11">
        <f>VLOOKUP(A1588,[1]HD_price_daily!$A$8:$B$1768,2,0)</f>
        <v>334.97</v>
      </c>
      <c r="C1588">
        <f t="shared" si="96"/>
        <v>-3.6289003242213624E-3</v>
      </c>
      <c r="D1588" s="1" t="str">
        <f t="shared" ca="1" si="97"/>
        <v>=B1588/B1587-1</v>
      </c>
      <c r="E1588" s="8">
        <f>VLOOKUP(A1588,'[1]S&amp;P500_DAILY'!$A$8:$B$1768,2,0)</f>
        <v>5509.01</v>
      </c>
      <c r="F1588" s="1">
        <f t="shared" si="98"/>
        <v>6.195331948881222E-3</v>
      </c>
      <c r="G1588" s="1" t="str">
        <f t="shared" ca="1" si="99"/>
        <v>=E1588/E1587-1</v>
      </c>
    </row>
    <row r="1589" spans="1:7">
      <c r="A1589" s="14">
        <v>45476</v>
      </c>
      <c r="B1589" s="11">
        <f>VLOOKUP(A1589,[1]HD_price_daily!$A$8:$B$1768,2,0)</f>
        <v>333.64</v>
      </c>
      <c r="C1589">
        <f t="shared" si="96"/>
        <v>-3.9705048213274363E-3</v>
      </c>
      <c r="D1589" s="1" t="str">
        <f t="shared" ca="1" si="97"/>
        <v>=B1589/B1588-1</v>
      </c>
      <c r="E1589" s="8">
        <f>VLOOKUP(A1589,'[1]S&amp;P500_DAILY'!$A$8:$B$1768,2,0)</f>
        <v>5537.02</v>
      </c>
      <c r="F1589" s="1">
        <f t="shared" si="98"/>
        <v>5.0843981041965858E-3</v>
      </c>
      <c r="G1589" s="1" t="str">
        <f t="shared" ca="1" si="99"/>
        <v>=E1589/E1588-1</v>
      </c>
    </row>
    <row r="1590" spans="1:7">
      <c r="A1590" s="14">
        <v>45478</v>
      </c>
      <c r="B1590" s="11">
        <f>VLOOKUP(A1590,[1]HD_price_daily!$A$8:$B$1768,2,0)</f>
        <v>334.58</v>
      </c>
      <c r="C1590">
        <f t="shared" si="96"/>
        <v>2.81740798465413E-3</v>
      </c>
      <c r="D1590" s="1" t="str">
        <f t="shared" ca="1" si="97"/>
        <v>=B1590/B1589-1</v>
      </c>
      <c r="E1590" s="8">
        <f>VLOOKUP(A1590,'[1]S&amp;P500_DAILY'!$A$8:$B$1768,2,0)</f>
        <v>5567.19</v>
      </c>
      <c r="F1590" s="1">
        <f t="shared" si="98"/>
        <v>5.4487793072806046E-3</v>
      </c>
      <c r="G1590" s="1" t="str">
        <f t="shared" ca="1" si="99"/>
        <v>=E1590/E1589-1</v>
      </c>
    </row>
    <row r="1591" spans="1:7">
      <c r="A1591" s="14">
        <v>45481</v>
      </c>
      <c r="B1591" s="11">
        <f>VLOOKUP(A1591,[1]HD_price_daily!$A$8:$B$1768,2,0)</f>
        <v>339.6</v>
      </c>
      <c r="C1591">
        <f t="shared" si="96"/>
        <v>1.5003885468348521E-2</v>
      </c>
      <c r="D1591" s="1" t="str">
        <f t="shared" ca="1" si="97"/>
        <v>=B1591/B1590-1</v>
      </c>
      <c r="E1591" s="8">
        <f>VLOOKUP(A1591,'[1]S&amp;P500_DAILY'!$A$8:$B$1768,2,0)</f>
        <v>5572.85</v>
      </c>
      <c r="F1591" s="1">
        <f t="shared" si="98"/>
        <v>1.0166708878267539E-3</v>
      </c>
      <c r="G1591" s="1" t="str">
        <f t="shared" ca="1" si="99"/>
        <v>=E1591/E1590-1</v>
      </c>
    </row>
    <row r="1592" spans="1:7">
      <c r="A1592" s="14">
        <v>45482</v>
      </c>
      <c r="B1592" s="11">
        <f>VLOOKUP(A1592,[1]HD_price_daily!$A$8:$B$1768,2,0)</f>
        <v>337.09</v>
      </c>
      <c r="C1592">
        <f t="shared" si="96"/>
        <v>-7.3910482921084597E-3</v>
      </c>
      <c r="D1592" s="1" t="str">
        <f t="shared" ca="1" si="97"/>
        <v>=B1592/B1591-1</v>
      </c>
      <c r="E1592" s="8">
        <f>VLOOKUP(A1592,'[1]S&amp;P500_DAILY'!$A$8:$B$1768,2,0)</f>
        <v>5576.98</v>
      </c>
      <c r="F1592" s="1">
        <f t="shared" si="98"/>
        <v>7.410929775606423E-4</v>
      </c>
      <c r="G1592" s="1" t="str">
        <f t="shared" ca="1" si="99"/>
        <v>=E1592/E1591-1</v>
      </c>
    </row>
    <row r="1593" spans="1:7">
      <c r="A1593" s="14">
        <v>45483</v>
      </c>
      <c r="B1593" s="11">
        <f>VLOOKUP(A1593,[1]HD_price_daily!$A$8:$B$1768,2,0)</f>
        <v>344.18</v>
      </c>
      <c r="C1593">
        <f t="shared" si="96"/>
        <v>2.1032958557062109E-2</v>
      </c>
      <c r="D1593" s="1" t="str">
        <f t="shared" ca="1" si="97"/>
        <v>=B1593/B1592-1</v>
      </c>
      <c r="E1593" s="8">
        <f>VLOOKUP(A1593,'[1]S&amp;P500_DAILY'!$A$8:$B$1768,2,0)</f>
        <v>5633.91</v>
      </c>
      <c r="F1593" s="1">
        <f t="shared" si="98"/>
        <v>1.0208033738690059E-2</v>
      </c>
      <c r="G1593" s="1" t="str">
        <f t="shared" ca="1" si="99"/>
        <v>=E1593/E1592-1</v>
      </c>
    </row>
    <row r="1594" spans="1:7">
      <c r="A1594" s="14">
        <v>45484</v>
      </c>
      <c r="B1594" s="11">
        <f>VLOOKUP(A1594,[1]HD_price_daily!$A$8:$B$1768,2,0)</f>
        <v>353.79</v>
      </c>
      <c r="C1594">
        <f t="shared" si="96"/>
        <v>2.7921436457667648E-2</v>
      </c>
      <c r="D1594" s="1" t="str">
        <f t="shared" ca="1" si="97"/>
        <v>=B1594/B1593-1</v>
      </c>
      <c r="E1594" s="8">
        <f>VLOOKUP(A1594,'[1]S&amp;P500_DAILY'!$A$8:$B$1768,2,0)</f>
        <v>5584.54</v>
      </c>
      <c r="F1594" s="1">
        <f t="shared" si="98"/>
        <v>-8.763008283767415E-3</v>
      </c>
      <c r="G1594" s="1" t="str">
        <f t="shared" ca="1" si="99"/>
        <v>=E1594/E1593-1</v>
      </c>
    </row>
    <row r="1595" spans="1:7">
      <c r="A1595" s="14">
        <v>45485</v>
      </c>
      <c r="B1595" s="11">
        <f>VLOOKUP(A1595,[1]HD_price_daily!$A$8:$B$1768,2,0)</f>
        <v>359.77</v>
      </c>
      <c r="C1595">
        <f t="shared" si="96"/>
        <v>1.6902682382204048E-2</v>
      </c>
      <c r="D1595" s="1" t="str">
        <f t="shared" ca="1" si="97"/>
        <v>=B1595/B1594-1</v>
      </c>
      <c r="E1595" s="8">
        <f>VLOOKUP(A1595,'[1]S&amp;P500_DAILY'!$A$8:$B$1768,2,0)</f>
        <v>5615.35</v>
      </c>
      <c r="F1595" s="1">
        <f t="shared" si="98"/>
        <v>5.5170166208855509E-3</v>
      </c>
      <c r="G1595" s="1" t="str">
        <f t="shared" ca="1" si="99"/>
        <v>=E1595/E1594-1</v>
      </c>
    </row>
    <row r="1596" spans="1:7">
      <c r="A1596" s="14">
        <v>45488</v>
      </c>
      <c r="B1596" s="11">
        <f>VLOOKUP(A1596,[1]HD_price_daily!$A$8:$B$1768,2,0)</f>
        <v>358.46</v>
      </c>
      <c r="C1596">
        <f t="shared" si="96"/>
        <v>-3.641215220835492E-3</v>
      </c>
      <c r="D1596" s="1" t="str">
        <f t="shared" ca="1" si="97"/>
        <v>=B1596/B1595-1</v>
      </c>
      <c r="E1596" s="8">
        <f>VLOOKUP(A1596,'[1]S&amp;P500_DAILY'!$A$8:$B$1768,2,0)</f>
        <v>5631.22</v>
      </c>
      <c r="F1596" s="1">
        <f t="shared" si="98"/>
        <v>2.826181805230199E-3</v>
      </c>
      <c r="G1596" s="1" t="str">
        <f t="shared" ca="1" si="99"/>
        <v>=E1596/E1595-1</v>
      </c>
    </row>
    <row r="1597" spans="1:7">
      <c r="A1597" s="14">
        <v>45489</v>
      </c>
      <c r="B1597" s="11">
        <f>VLOOKUP(A1597,[1]HD_price_daily!$A$8:$B$1768,2,0)</f>
        <v>369.12</v>
      </c>
      <c r="C1597">
        <f t="shared" si="96"/>
        <v>2.9738325057189208E-2</v>
      </c>
      <c r="D1597" s="1" t="str">
        <f t="shared" ca="1" si="97"/>
        <v>=B1597/B1596-1</v>
      </c>
      <c r="E1597" s="8">
        <f>VLOOKUP(A1597,'[1]S&amp;P500_DAILY'!$A$8:$B$1768,2,0)</f>
        <v>5667.2</v>
      </c>
      <c r="F1597" s="1">
        <f t="shared" si="98"/>
        <v>6.3893792108991043E-3</v>
      </c>
      <c r="G1597" s="1" t="str">
        <f t="shared" ca="1" si="99"/>
        <v>=E1597/E1596-1</v>
      </c>
    </row>
    <row r="1598" spans="1:7">
      <c r="A1598" s="14">
        <v>45490</v>
      </c>
      <c r="B1598" s="11">
        <f>VLOOKUP(A1598,[1]HD_price_daily!$A$8:$B$1768,2,0)</f>
        <v>371.89</v>
      </c>
      <c r="C1598">
        <f t="shared" si="96"/>
        <v>7.504334633723353E-3</v>
      </c>
      <c r="D1598" s="1" t="str">
        <f t="shared" ca="1" si="97"/>
        <v>=B1598/B1597-1</v>
      </c>
      <c r="E1598" s="8">
        <f>VLOOKUP(A1598,'[1]S&amp;P500_DAILY'!$A$8:$B$1768,2,0)</f>
        <v>5588.27</v>
      </c>
      <c r="F1598" s="1">
        <f t="shared" si="98"/>
        <v>-1.3927512704686507E-2</v>
      </c>
      <c r="G1598" s="1" t="str">
        <f t="shared" ca="1" si="99"/>
        <v>=E1598/E1597-1</v>
      </c>
    </row>
    <row r="1599" spans="1:7">
      <c r="A1599" s="14">
        <v>45491</v>
      </c>
      <c r="B1599" s="11">
        <f>VLOOKUP(A1599,[1]HD_price_daily!$A$8:$B$1768,2,0)</f>
        <v>366.08</v>
      </c>
      <c r="C1599">
        <f t="shared" si="96"/>
        <v>-1.562289924440019E-2</v>
      </c>
      <c r="D1599" s="1" t="str">
        <f t="shared" ca="1" si="97"/>
        <v>=B1599/B1598-1</v>
      </c>
      <c r="E1599" s="8">
        <f>VLOOKUP(A1599,'[1]S&amp;P500_DAILY'!$A$8:$B$1768,2,0)</f>
        <v>5544.59</v>
      </c>
      <c r="F1599" s="1">
        <f t="shared" si="98"/>
        <v>-7.8163725088444824E-3</v>
      </c>
      <c r="G1599" s="1" t="str">
        <f t="shared" ca="1" si="99"/>
        <v>=E1599/E1598-1</v>
      </c>
    </row>
    <row r="1600" spans="1:7">
      <c r="A1600" s="14">
        <v>45492</v>
      </c>
      <c r="B1600" s="11">
        <f>VLOOKUP(A1600,[1]HD_price_daily!$A$8:$B$1768,2,0)</f>
        <v>363.36</v>
      </c>
      <c r="C1600">
        <f t="shared" si="96"/>
        <v>-7.4300699300698936E-3</v>
      </c>
      <c r="D1600" s="1" t="str">
        <f t="shared" ca="1" si="97"/>
        <v>=B1600/B1599-1</v>
      </c>
      <c r="E1600" s="8">
        <f>VLOOKUP(A1600,'[1]S&amp;P500_DAILY'!$A$8:$B$1768,2,0)</f>
        <v>5505</v>
      </c>
      <c r="F1600" s="1">
        <f t="shared" si="98"/>
        <v>-7.1402935113327182E-3</v>
      </c>
      <c r="G1600" s="1" t="str">
        <f t="shared" ca="1" si="99"/>
        <v>=E1600/E1599-1</v>
      </c>
    </row>
    <row r="1601" spans="1:7">
      <c r="A1601" s="14">
        <v>45495</v>
      </c>
      <c r="B1601" s="11">
        <f>VLOOKUP(A1601,[1]HD_price_daily!$A$8:$B$1768,2,0)</f>
        <v>363.25</v>
      </c>
      <c r="C1601">
        <f t="shared" si="96"/>
        <v>-3.0273007485692727E-4</v>
      </c>
      <c r="D1601" s="1" t="str">
        <f t="shared" ca="1" si="97"/>
        <v>=B1601/B1600-1</v>
      </c>
      <c r="E1601" s="8">
        <f>VLOOKUP(A1601,'[1]S&amp;P500_DAILY'!$A$8:$B$1768,2,0)</f>
        <v>5564.41</v>
      </c>
      <c r="F1601" s="1">
        <f t="shared" si="98"/>
        <v>1.0792007266121617E-2</v>
      </c>
      <c r="G1601" s="1" t="str">
        <f t="shared" ca="1" si="99"/>
        <v>=E1601/E1600-1</v>
      </c>
    </row>
    <row r="1602" spans="1:7">
      <c r="A1602" s="14">
        <v>45496</v>
      </c>
      <c r="B1602" s="11">
        <f>VLOOKUP(A1602,[1]HD_price_daily!$A$8:$B$1768,2,0)</f>
        <v>359.62</v>
      </c>
      <c r="C1602">
        <f t="shared" si="96"/>
        <v>-9.9931176875429628E-3</v>
      </c>
      <c r="D1602" s="1" t="str">
        <f t="shared" ca="1" si="97"/>
        <v>=B1602/B1601-1</v>
      </c>
      <c r="E1602" s="8">
        <f>VLOOKUP(A1602,'[1]S&amp;P500_DAILY'!$A$8:$B$1768,2,0)</f>
        <v>5555.74</v>
      </c>
      <c r="F1602" s="1">
        <f t="shared" si="98"/>
        <v>-1.558116673645582E-3</v>
      </c>
      <c r="G1602" s="1" t="str">
        <f t="shared" ca="1" si="99"/>
        <v>=E1602/E1601-1</v>
      </c>
    </row>
    <row r="1603" spans="1:7">
      <c r="A1603" s="14">
        <v>45497</v>
      </c>
      <c r="B1603" s="11">
        <f>VLOOKUP(A1603,[1]HD_price_daily!$A$8:$B$1768,2,0)</f>
        <v>350.31</v>
      </c>
      <c r="C1603">
        <f t="shared" si="96"/>
        <v>-2.5888437795450803E-2</v>
      </c>
      <c r="D1603" s="1" t="str">
        <f t="shared" ca="1" si="97"/>
        <v>=B1603/B1602-1</v>
      </c>
      <c r="E1603" s="8">
        <f>VLOOKUP(A1603,'[1]S&amp;P500_DAILY'!$A$8:$B$1768,2,0)</f>
        <v>5427.13</v>
      </c>
      <c r="F1603" s="1">
        <f t="shared" si="98"/>
        <v>-2.3149031452155744E-2</v>
      </c>
      <c r="G1603" s="1" t="str">
        <f t="shared" ca="1" si="99"/>
        <v>=E1603/E1602-1</v>
      </c>
    </row>
    <row r="1604" spans="1:7">
      <c r="A1604" s="14">
        <v>45498</v>
      </c>
      <c r="B1604" s="11">
        <f>VLOOKUP(A1604,[1]HD_price_daily!$A$8:$B$1768,2,0)</f>
        <v>353.29</v>
      </c>
      <c r="C1604">
        <f t="shared" ref="C1604:C1667" si="100">B1604/B1603-1</f>
        <v>8.5067511632554993E-3</v>
      </c>
      <c r="D1604" s="1" t="str">
        <f t="shared" ref="D1604:D1667" ca="1" si="101">_xlfn.FORMULATEXT(C1604)</f>
        <v>=B1604/B1603-1</v>
      </c>
      <c r="E1604" s="8">
        <f>VLOOKUP(A1604,'[1]S&amp;P500_DAILY'!$A$8:$B$1768,2,0)</f>
        <v>5399.22</v>
      </c>
      <c r="F1604" s="1">
        <f t="shared" ref="F1604:F1667" si="102">E1604/E1603-1</f>
        <v>-5.1426813066942634E-3</v>
      </c>
      <c r="G1604" s="1" t="str">
        <f t="shared" ref="G1604:G1667" ca="1" si="103">_xlfn.FORMULATEXT(F1604)</f>
        <v>=E1604/E1603-1</v>
      </c>
    </row>
    <row r="1605" spans="1:7">
      <c r="A1605" s="14">
        <v>45499</v>
      </c>
      <c r="B1605" s="11">
        <f>VLOOKUP(A1605,[1]HD_price_daily!$A$8:$B$1768,2,0)</f>
        <v>359.51</v>
      </c>
      <c r="C1605">
        <f t="shared" si="100"/>
        <v>1.7605932803079538E-2</v>
      </c>
      <c r="D1605" s="1" t="str">
        <f t="shared" ca="1" si="101"/>
        <v>=B1605/B1604-1</v>
      </c>
      <c r="E1605" s="8">
        <f>VLOOKUP(A1605,'[1]S&amp;P500_DAILY'!$A$8:$B$1768,2,0)</f>
        <v>5459.1</v>
      </c>
      <c r="F1605" s="1">
        <f t="shared" si="102"/>
        <v>1.1090490848678192E-2</v>
      </c>
      <c r="G1605" s="1" t="str">
        <f t="shared" ca="1" si="103"/>
        <v>=E1605/E1604-1</v>
      </c>
    </row>
    <row r="1606" spans="1:7">
      <c r="A1606" s="14">
        <v>45502</v>
      </c>
      <c r="B1606" s="11">
        <f>VLOOKUP(A1606,[1]HD_price_daily!$A$8:$B$1768,2,0)</f>
        <v>361.67</v>
      </c>
      <c r="C1606">
        <f t="shared" si="100"/>
        <v>6.008177797557801E-3</v>
      </c>
      <c r="D1606" s="1" t="str">
        <f t="shared" ca="1" si="101"/>
        <v>=B1606/B1605-1</v>
      </c>
      <c r="E1606" s="8">
        <f>VLOOKUP(A1606,'[1]S&amp;P500_DAILY'!$A$8:$B$1768,2,0)</f>
        <v>5463.54</v>
      </c>
      <c r="F1606" s="1">
        <f t="shared" si="102"/>
        <v>8.1332087706753597E-4</v>
      </c>
      <c r="G1606" s="1" t="str">
        <f t="shared" ca="1" si="103"/>
        <v>=E1606/E1605-1</v>
      </c>
    </row>
    <row r="1607" spans="1:7">
      <c r="A1607" s="14">
        <v>45503</v>
      </c>
      <c r="B1607" s="11">
        <f>VLOOKUP(A1607,[1]HD_price_daily!$A$8:$B$1768,2,0)</f>
        <v>363.69</v>
      </c>
      <c r="C1607">
        <f t="shared" si="100"/>
        <v>5.5852019797051344E-3</v>
      </c>
      <c r="D1607" s="1" t="str">
        <f t="shared" ca="1" si="101"/>
        <v>=B1607/B1606-1</v>
      </c>
      <c r="E1607" s="8">
        <f>VLOOKUP(A1607,'[1]S&amp;P500_DAILY'!$A$8:$B$1768,2,0)</f>
        <v>5436.44</v>
      </c>
      <c r="F1607" s="1">
        <f t="shared" si="102"/>
        <v>-4.9601540393225951E-3</v>
      </c>
      <c r="G1607" s="1" t="str">
        <f t="shared" ca="1" si="103"/>
        <v>=E1607/E1606-1</v>
      </c>
    </row>
    <row r="1608" spans="1:7">
      <c r="A1608" s="14">
        <v>45504</v>
      </c>
      <c r="B1608" s="11">
        <f>VLOOKUP(A1608,[1]HD_price_daily!$A$8:$B$1768,2,0)</f>
        <v>368.16</v>
      </c>
      <c r="C1608">
        <f t="shared" si="100"/>
        <v>1.2290687123649446E-2</v>
      </c>
      <c r="D1608" s="1" t="str">
        <f t="shared" ca="1" si="101"/>
        <v>=B1608/B1607-1</v>
      </c>
      <c r="E1608" s="8">
        <f>VLOOKUP(A1608,'[1]S&amp;P500_DAILY'!$A$8:$B$1768,2,0)</f>
        <v>5522.3</v>
      </c>
      <c r="F1608" s="1">
        <f t="shared" si="102"/>
        <v>1.579342363752767E-2</v>
      </c>
      <c r="G1608" s="1" t="str">
        <f t="shared" ca="1" si="103"/>
        <v>=E1608/E1607-1</v>
      </c>
    </row>
    <row r="1609" spans="1:7">
      <c r="A1609" s="14">
        <v>45505</v>
      </c>
      <c r="B1609" s="11">
        <f>VLOOKUP(A1609,[1]HD_price_daily!$A$8:$B$1768,2,0)</f>
        <v>358.58</v>
      </c>
      <c r="C1609">
        <f t="shared" si="100"/>
        <v>-2.6021295089091789E-2</v>
      </c>
      <c r="D1609" s="1" t="str">
        <f t="shared" ca="1" si="101"/>
        <v>=B1609/B1608-1</v>
      </c>
      <c r="E1609" s="8">
        <f>VLOOKUP(A1609,'[1]S&amp;P500_DAILY'!$A$8:$B$1768,2,0)</f>
        <v>5446.68</v>
      </c>
      <c r="F1609" s="1">
        <f t="shared" si="102"/>
        <v>-1.3693569708273734E-2</v>
      </c>
      <c r="G1609" s="1" t="str">
        <f t="shared" ca="1" si="103"/>
        <v>=E1609/E1608-1</v>
      </c>
    </row>
    <row r="1610" spans="1:7">
      <c r="A1610" s="14">
        <v>45506</v>
      </c>
      <c r="B1610" s="11">
        <f>VLOOKUP(A1610,[1]HD_price_daily!$A$8:$B$1768,2,0)</f>
        <v>355.43</v>
      </c>
      <c r="C1610">
        <f t="shared" si="100"/>
        <v>-8.7846505661218766E-3</v>
      </c>
      <c r="D1610" s="1" t="str">
        <f t="shared" ca="1" si="101"/>
        <v>=B1610/B1609-1</v>
      </c>
      <c r="E1610" s="8">
        <f>VLOOKUP(A1610,'[1]S&amp;P500_DAILY'!$A$8:$B$1768,2,0)</f>
        <v>5346.56</v>
      </c>
      <c r="F1610" s="1">
        <f t="shared" si="102"/>
        <v>-1.8381839946536194E-2</v>
      </c>
      <c r="G1610" s="1" t="str">
        <f t="shared" ca="1" si="103"/>
        <v>=E1610/E1609-1</v>
      </c>
    </row>
    <row r="1611" spans="1:7">
      <c r="A1611" s="14">
        <v>45509</v>
      </c>
      <c r="B1611" s="11">
        <f>VLOOKUP(A1611,[1]HD_price_daily!$A$8:$B$1768,2,0)</f>
        <v>350.01</v>
      </c>
      <c r="C1611">
        <f t="shared" si="100"/>
        <v>-1.5249134850744195E-2</v>
      </c>
      <c r="D1611" s="1" t="str">
        <f t="shared" ca="1" si="101"/>
        <v>=B1611/B1610-1</v>
      </c>
      <c r="E1611" s="8">
        <f>VLOOKUP(A1611,'[1]S&amp;P500_DAILY'!$A$8:$B$1768,2,0)</f>
        <v>5186.33</v>
      </c>
      <c r="F1611" s="1">
        <f t="shared" si="102"/>
        <v>-2.9968802370122227E-2</v>
      </c>
      <c r="G1611" s="1" t="str">
        <f t="shared" ca="1" si="103"/>
        <v>=E1611/E1610-1</v>
      </c>
    </row>
    <row r="1612" spans="1:7">
      <c r="A1612" s="14">
        <v>45510</v>
      </c>
      <c r="B1612" s="11">
        <f>VLOOKUP(A1612,[1]HD_price_daily!$A$8:$B$1768,2,0)</f>
        <v>353.91</v>
      </c>
      <c r="C1612">
        <f t="shared" si="100"/>
        <v>1.1142538784606248E-2</v>
      </c>
      <c r="D1612" s="1" t="str">
        <f t="shared" ca="1" si="101"/>
        <v>=B1612/B1611-1</v>
      </c>
      <c r="E1612" s="8">
        <f>VLOOKUP(A1612,'[1]S&amp;P500_DAILY'!$A$8:$B$1768,2,0)</f>
        <v>5240.03</v>
      </c>
      <c r="F1612" s="1">
        <f t="shared" si="102"/>
        <v>1.0354142524675369E-2</v>
      </c>
      <c r="G1612" s="1" t="str">
        <f t="shared" ca="1" si="103"/>
        <v>=E1612/E1611-1</v>
      </c>
    </row>
    <row r="1613" spans="1:7">
      <c r="A1613" s="14">
        <v>45511</v>
      </c>
      <c r="B1613" s="11">
        <f>VLOOKUP(A1613,[1]HD_price_daily!$A$8:$B$1768,2,0)</f>
        <v>342.4</v>
      </c>
      <c r="C1613">
        <f t="shared" si="100"/>
        <v>-3.2522392698708824E-2</v>
      </c>
      <c r="D1613" s="1" t="str">
        <f t="shared" ca="1" si="101"/>
        <v>=B1613/B1612-1</v>
      </c>
      <c r="E1613" s="8">
        <f>VLOOKUP(A1613,'[1]S&amp;P500_DAILY'!$A$8:$B$1768,2,0)</f>
        <v>5199.5</v>
      </c>
      <c r="F1613" s="1">
        <f t="shared" si="102"/>
        <v>-7.7346885418594358E-3</v>
      </c>
      <c r="G1613" s="1" t="str">
        <f t="shared" ca="1" si="103"/>
        <v>=E1613/E1612-1</v>
      </c>
    </row>
    <row r="1614" spans="1:7">
      <c r="A1614" s="14">
        <v>45512</v>
      </c>
      <c r="B1614" s="11">
        <f>VLOOKUP(A1614,[1]HD_price_daily!$A$8:$B$1768,2,0)</f>
        <v>348.34</v>
      </c>
      <c r="C1614">
        <f t="shared" si="100"/>
        <v>1.7348130841121412E-2</v>
      </c>
      <c r="D1614" s="1" t="str">
        <f t="shared" ca="1" si="101"/>
        <v>=B1614/B1613-1</v>
      </c>
      <c r="E1614" s="8">
        <f>VLOOKUP(A1614,'[1]S&amp;P500_DAILY'!$A$8:$B$1768,2,0)</f>
        <v>5319.31</v>
      </c>
      <c r="F1614" s="1">
        <f t="shared" si="102"/>
        <v>2.3042600250024137E-2</v>
      </c>
      <c r="G1614" s="1" t="str">
        <f t="shared" ca="1" si="103"/>
        <v>=E1614/E1613-1</v>
      </c>
    </row>
    <row r="1615" spans="1:7">
      <c r="A1615" s="14">
        <v>45513</v>
      </c>
      <c r="B1615" s="11">
        <f>VLOOKUP(A1615,[1]HD_price_daily!$A$8:$B$1768,2,0)</f>
        <v>348.64</v>
      </c>
      <c r="C1615">
        <f t="shared" si="100"/>
        <v>8.6122753631512339E-4</v>
      </c>
      <c r="D1615" s="1" t="str">
        <f t="shared" ca="1" si="101"/>
        <v>=B1615/B1614-1</v>
      </c>
      <c r="E1615" s="8">
        <f>VLOOKUP(A1615,'[1]S&amp;P500_DAILY'!$A$8:$B$1768,2,0)</f>
        <v>5344.16</v>
      </c>
      <c r="F1615" s="1">
        <f t="shared" si="102"/>
        <v>4.6716585421793244E-3</v>
      </c>
      <c r="G1615" s="1" t="str">
        <f t="shared" ca="1" si="103"/>
        <v>=E1615/E1614-1</v>
      </c>
    </row>
    <row r="1616" spans="1:7">
      <c r="A1616" s="14">
        <v>45516</v>
      </c>
      <c r="B1616" s="11">
        <f>VLOOKUP(A1616,[1]HD_price_daily!$A$8:$B$1768,2,0)</f>
        <v>345.81</v>
      </c>
      <c r="C1616">
        <f t="shared" si="100"/>
        <v>-8.1172556218448433E-3</v>
      </c>
      <c r="D1616" s="1" t="str">
        <f t="shared" ca="1" si="101"/>
        <v>=B1616/B1615-1</v>
      </c>
      <c r="E1616" s="8">
        <f>VLOOKUP(A1616,'[1]S&amp;P500_DAILY'!$A$8:$B$1768,2,0)</f>
        <v>5344.39</v>
      </c>
      <c r="F1616" s="1">
        <f t="shared" si="102"/>
        <v>4.3037633603804082E-5</v>
      </c>
      <c r="G1616" s="1" t="str">
        <f t="shared" ca="1" si="103"/>
        <v>=E1616/E1615-1</v>
      </c>
    </row>
    <row r="1617" spans="1:7">
      <c r="A1617" s="14">
        <v>45517</v>
      </c>
      <c r="B1617" s="11">
        <f>VLOOKUP(A1617,[1]HD_price_daily!$A$8:$B$1768,2,0)</f>
        <v>350.07</v>
      </c>
      <c r="C1617">
        <f t="shared" si="100"/>
        <v>1.2318903444087814E-2</v>
      </c>
      <c r="D1617" s="1" t="str">
        <f t="shared" ca="1" si="101"/>
        <v>=B1617/B1616-1</v>
      </c>
      <c r="E1617" s="8">
        <f>VLOOKUP(A1617,'[1]S&amp;P500_DAILY'!$A$8:$B$1768,2,0)</f>
        <v>5434.43</v>
      </c>
      <c r="F1617" s="1">
        <f t="shared" si="102"/>
        <v>1.6847572875482442E-2</v>
      </c>
      <c r="G1617" s="1" t="str">
        <f t="shared" ca="1" si="103"/>
        <v>=E1617/E1616-1</v>
      </c>
    </row>
    <row r="1618" spans="1:7">
      <c r="A1618" s="14">
        <v>45518</v>
      </c>
      <c r="B1618" s="11">
        <f>VLOOKUP(A1618,[1]HD_price_daily!$A$8:$B$1768,2,0)</f>
        <v>355.66</v>
      </c>
      <c r="C1618">
        <f t="shared" si="100"/>
        <v>1.596823492444388E-2</v>
      </c>
      <c r="D1618" s="1" t="str">
        <f t="shared" ca="1" si="101"/>
        <v>=B1618/B1617-1</v>
      </c>
      <c r="E1618" s="8">
        <f>VLOOKUP(A1618,'[1]S&amp;P500_DAILY'!$A$8:$B$1768,2,0)</f>
        <v>5455.21</v>
      </c>
      <c r="F1618" s="1">
        <f t="shared" si="102"/>
        <v>3.8237680860733203E-3</v>
      </c>
      <c r="G1618" s="1" t="str">
        <f t="shared" ca="1" si="103"/>
        <v>=E1618/E1617-1</v>
      </c>
    </row>
    <row r="1619" spans="1:7">
      <c r="A1619" s="14">
        <v>45519</v>
      </c>
      <c r="B1619" s="11">
        <f>VLOOKUP(A1619,[1]HD_price_daily!$A$8:$B$1768,2,0)</f>
        <v>360.07</v>
      </c>
      <c r="C1619">
        <f t="shared" si="100"/>
        <v>1.2399482651970883E-2</v>
      </c>
      <c r="D1619" s="1" t="str">
        <f t="shared" ca="1" si="101"/>
        <v>=B1619/B1618-1</v>
      </c>
      <c r="E1619" s="8">
        <f>VLOOKUP(A1619,'[1]S&amp;P500_DAILY'!$A$8:$B$1768,2,0)</f>
        <v>5543.22</v>
      </c>
      <c r="F1619" s="1">
        <f t="shared" si="102"/>
        <v>1.6133201104998829E-2</v>
      </c>
      <c r="G1619" s="1" t="str">
        <f t="shared" ca="1" si="103"/>
        <v>=E1619/E1618-1</v>
      </c>
    </row>
    <row r="1620" spans="1:7">
      <c r="A1620" s="14">
        <v>45520</v>
      </c>
      <c r="B1620" s="11">
        <f>VLOOKUP(A1620,[1]HD_price_daily!$A$8:$B$1768,2,0)</f>
        <v>362.06</v>
      </c>
      <c r="C1620">
        <f t="shared" si="100"/>
        <v>5.5267031410559664E-3</v>
      </c>
      <c r="D1620" s="1" t="str">
        <f t="shared" ca="1" si="101"/>
        <v>=B1620/B1619-1</v>
      </c>
      <c r="E1620" s="8">
        <f>VLOOKUP(A1620,'[1]S&amp;P500_DAILY'!$A$8:$B$1768,2,0)</f>
        <v>5554.25</v>
      </c>
      <c r="F1620" s="1">
        <f t="shared" si="102"/>
        <v>1.9898181923141411E-3</v>
      </c>
      <c r="G1620" s="1" t="str">
        <f t="shared" ca="1" si="103"/>
        <v>=E1620/E1619-1</v>
      </c>
    </row>
    <row r="1621" spans="1:7">
      <c r="A1621" s="14">
        <v>45523</v>
      </c>
      <c r="B1621" s="11">
        <f>VLOOKUP(A1621,[1]HD_price_daily!$A$8:$B$1768,2,0)</f>
        <v>363.07</v>
      </c>
      <c r="C1621">
        <f t="shared" si="100"/>
        <v>2.7895928851571217E-3</v>
      </c>
      <c r="D1621" s="1" t="str">
        <f t="shared" ca="1" si="101"/>
        <v>=B1621/B1620-1</v>
      </c>
      <c r="E1621" s="8">
        <f>VLOOKUP(A1621,'[1]S&amp;P500_DAILY'!$A$8:$B$1768,2,0)</f>
        <v>5608.25</v>
      </c>
      <c r="F1621" s="1">
        <f t="shared" si="102"/>
        <v>9.7222847369131671E-3</v>
      </c>
      <c r="G1621" s="1" t="str">
        <f t="shared" ca="1" si="103"/>
        <v>=E1621/E1620-1</v>
      </c>
    </row>
    <row r="1622" spans="1:7">
      <c r="A1622" s="14">
        <v>45524</v>
      </c>
      <c r="B1622" s="11">
        <f>VLOOKUP(A1622,[1]HD_price_daily!$A$8:$B$1768,2,0)</f>
        <v>367.27</v>
      </c>
      <c r="C1622">
        <f t="shared" si="100"/>
        <v>1.1568017186768254E-2</v>
      </c>
      <c r="D1622" s="1" t="str">
        <f t="shared" ca="1" si="101"/>
        <v>=B1622/B1621-1</v>
      </c>
      <c r="E1622" s="8">
        <f>VLOOKUP(A1622,'[1]S&amp;P500_DAILY'!$A$8:$B$1768,2,0)</f>
        <v>5597.12</v>
      </c>
      <c r="F1622" s="1">
        <f t="shared" si="102"/>
        <v>-1.9845762938528466E-3</v>
      </c>
      <c r="G1622" s="1" t="str">
        <f t="shared" ca="1" si="103"/>
        <v>=E1622/E1621-1</v>
      </c>
    </row>
    <row r="1623" spans="1:7">
      <c r="A1623" s="14">
        <v>45525</v>
      </c>
      <c r="B1623" s="11">
        <f>VLOOKUP(A1623,[1]HD_price_daily!$A$8:$B$1768,2,0)</f>
        <v>370.46</v>
      </c>
      <c r="C1623">
        <f t="shared" si="100"/>
        <v>8.6857080621884908E-3</v>
      </c>
      <c r="D1623" s="1" t="str">
        <f t="shared" ca="1" si="101"/>
        <v>=B1623/B1622-1</v>
      </c>
      <c r="E1623" s="8">
        <f>VLOOKUP(A1623,'[1]S&amp;P500_DAILY'!$A$8:$B$1768,2,0)</f>
        <v>5620.85</v>
      </c>
      <c r="F1623" s="1">
        <f t="shared" si="102"/>
        <v>4.2396804070665706E-3</v>
      </c>
      <c r="G1623" s="1" t="str">
        <f t="shared" ca="1" si="103"/>
        <v>=E1623/E1622-1</v>
      </c>
    </row>
    <row r="1624" spans="1:7">
      <c r="A1624" s="14">
        <v>45526</v>
      </c>
      <c r="B1624" s="11">
        <f>VLOOKUP(A1624,[1]HD_price_daily!$A$8:$B$1768,2,0)</f>
        <v>365.36</v>
      </c>
      <c r="C1624">
        <f t="shared" si="100"/>
        <v>-1.3766668466231091E-2</v>
      </c>
      <c r="D1624" s="1" t="str">
        <f t="shared" ca="1" si="101"/>
        <v>=B1624/B1623-1</v>
      </c>
      <c r="E1624" s="8">
        <f>VLOOKUP(A1624,'[1]S&amp;P500_DAILY'!$A$8:$B$1768,2,0)</f>
        <v>5570.64</v>
      </c>
      <c r="F1624" s="1">
        <f t="shared" si="102"/>
        <v>-8.9328126528905871E-3</v>
      </c>
      <c r="G1624" s="1" t="str">
        <f t="shared" ca="1" si="103"/>
        <v>=E1624/E1623-1</v>
      </c>
    </row>
    <row r="1625" spans="1:7">
      <c r="A1625" s="14">
        <v>45527</v>
      </c>
      <c r="B1625" s="11">
        <f>VLOOKUP(A1625,[1]HD_price_daily!$A$8:$B$1768,2,0)</f>
        <v>375.59</v>
      </c>
      <c r="C1625">
        <f t="shared" si="100"/>
        <v>2.7999781037880256E-2</v>
      </c>
      <c r="D1625" s="1" t="str">
        <f t="shared" ca="1" si="101"/>
        <v>=B1625/B1624-1</v>
      </c>
      <c r="E1625" s="8">
        <f>VLOOKUP(A1625,'[1]S&amp;P500_DAILY'!$A$8:$B$1768,2,0)</f>
        <v>5634.61</v>
      </c>
      <c r="F1625" s="1">
        <f t="shared" si="102"/>
        <v>1.1483420217425433E-2</v>
      </c>
      <c r="G1625" s="1" t="str">
        <f t="shared" ca="1" si="103"/>
        <v>=E1625/E1624-1</v>
      </c>
    </row>
    <row r="1626" spans="1:7">
      <c r="A1626" s="14">
        <v>45530</v>
      </c>
      <c r="B1626" s="11">
        <f>VLOOKUP(A1626,[1]HD_price_daily!$A$8:$B$1768,2,0)</f>
        <v>374.11</v>
      </c>
      <c r="C1626">
        <f t="shared" si="100"/>
        <v>-3.9404669985887431E-3</v>
      </c>
      <c r="D1626" s="1" t="str">
        <f t="shared" ca="1" si="101"/>
        <v>=B1626/B1625-1</v>
      </c>
      <c r="E1626" s="8">
        <f>VLOOKUP(A1626,'[1]S&amp;P500_DAILY'!$A$8:$B$1768,2,0)</f>
        <v>5616.84</v>
      </c>
      <c r="F1626" s="1">
        <f t="shared" si="102"/>
        <v>-3.1537231503155905E-3</v>
      </c>
      <c r="G1626" s="1" t="str">
        <f t="shared" ca="1" si="103"/>
        <v>=E1626/E1625-1</v>
      </c>
    </row>
    <row r="1627" spans="1:7">
      <c r="A1627" s="14">
        <v>45531</v>
      </c>
      <c r="B1627" s="11">
        <f>VLOOKUP(A1627,[1]HD_price_daily!$A$8:$B$1768,2,0)</f>
        <v>373.18</v>
      </c>
      <c r="C1627">
        <f t="shared" si="100"/>
        <v>-2.4858998690224787E-3</v>
      </c>
      <c r="D1627" s="1" t="str">
        <f t="shared" ca="1" si="101"/>
        <v>=B1627/B1626-1</v>
      </c>
      <c r="E1627" s="8">
        <f>VLOOKUP(A1627,'[1]S&amp;P500_DAILY'!$A$8:$B$1768,2,0)</f>
        <v>5625.8</v>
      </c>
      <c r="F1627" s="1">
        <f t="shared" si="102"/>
        <v>1.5952029967027936E-3</v>
      </c>
      <c r="G1627" s="1" t="str">
        <f t="shared" ca="1" si="103"/>
        <v>=E1627/E1626-1</v>
      </c>
    </row>
    <row r="1628" spans="1:7">
      <c r="A1628" s="14">
        <v>45532</v>
      </c>
      <c r="B1628" s="11">
        <f>VLOOKUP(A1628,[1]HD_price_daily!$A$8:$B$1768,2,0)</f>
        <v>372.69</v>
      </c>
      <c r="C1628">
        <f t="shared" si="100"/>
        <v>-1.3130392839916238E-3</v>
      </c>
      <c r="D1628" s="1" t="str">
        <f t="shared" ca="1" si="101"/>
        <v>=B1628/B1627-1</v>
      </c>
      <c r="E1628" s="8">
        <f>VLOOKUP(A1628,'[1]S&amp;P500_DAILY'!$A$8:$B$1768,2,0)</f>
        <v>5592.18</v>
      </c>
      <c r="F1628" s="1">
        <f t="shared" si="102"/>
        <v>-5.9760389633474187E-3</v>
      </c>
      <c r="G1628" s="1" t="str">
        <f t="shared" ca="1" si="103"/>
        <v>=E1628/E1627-1</v>
      </c>
    </row>
    <row r="1629" spans="1:7">
      <c r="A1629" s="14">
        <v>45533</v>
      </c>
      <c r="B1629" s="11">
        <f>VLOOKUP(A1629,[1]HD_price_daily!$A$8:$B$1768,2,0)</f>
        <v>367.06</v>
      </c>
      <c r="C1629">
        <f t="shared" si="100"/>
        <v>-1.5106388687649241E-2</v>
      </c>
      <c r="D1629" s="1" t="str">
        <f t="shared" ca="1" si="101"/>
        <v>=B1629/B1628-1</v>
      </c>
      <c r="E1629" s="8">
        <f>VLOOKUP(A1629,'[1]S&amp;P500_DAILY'!$A$8:$B$1768,2,0)</f>
        <v>5591.96</v>
      </c>
      <c r="F1629" s="1">
        <f t="shared" si="102"/>
        <v>-3.9340650694441592E-5</v>
      </c>
      <c r="G1629" s="1" t="str">
        <f t="shared" ca="1" si="103"/>
        <v>=E1629/E1628-1</v>
      </c>
    </row>
    <row r="1630" spans="1:7">
      <c r="A1630" s="14">
        <v>45534</v>
      </c>
      <c r="B1630" s="11">
        <f>VLOOKUP(A1630,[1]HD_price_daily!$A$8:$B$1768,2,0)</f>
        <v>368.5</v>
      </c>
      <c r="C1630">
        <f t="shared" si="100"/>
        <v>3.9230643491527939E-3</v>
      </c>
      <c r="D1630" s="1" t="str">
        <f t="shared" ca="1" si="101"/>
        <v>=B1630/B1629-1</v>
      </c>
      <c r="E1630" s="8">
        <f>VLOOKUP(A1630,'[1]S&amp;P500_DAILY'!$A$8:$B$1768,2,0)</f>
        <v>5648.4</v>
      </c>
      <c r="F1630" s="1">
        <f t="shared" si="102"/>
        <v>1.0093062182132906E-2</v>
      </c>
      <c r="G1630" s="1" t="str">
        <f t="shared" ca="1" si="103"/>
        <v>=E1630/E1629-1</v>
      </c>
    </row>
    <row r="1631" spans="1:7">
      <c r="A1631" s="14">
        <v>45538</v>
      </c>
      <c r="B1631" s="11">
        <f>VLOOKUP(A1631,[1]HD_price_daily!$A$8:$B$1768,2,0)</f>
        <v>364.74</v>
      </c>
      <c r="C1631">
        <f t="shared" si="100"/>
        <v>-1.0203527815468072E-2</v>
      </c>
      <c r="D1631" s="1" t="str">
        <f t="shared" ca="1" si="101"/>
        <v>=B1631/B1630-1</v>
      </c>
      <c r="E1631" s="8">
        <f>VLOOKUP(A1631,'[1]S&amp;P500_DAILY'!$A$8:$B$1768,2,0)</f>
        <v>5528.93</v>
      </c>
      <c r="F1631" s="1">
        <f t="shared" si="102"/>
        <v>-2.1151122441753323E-2</v>
      </c>
      <c r="G1631" s="1" t="str">
        <f t="shared" ca="1" si="103"/>
        <v>=E1631/E1630-1</v>
      </c>
    </row>
    <row r="1632" spans="1:7">
      <c r="A1632" s="14">
        <v>45539</v>
      </c>
      <c r="B1632" s="11">
        <f>VLOOKUP(A1632,[1]HD_price_daily!$A$8:$B$1768,2,0)</f>
        <v>364.67</v>
      </c>
      <c r="C1632">
        <f t="shared" si="100"/>
        <v>-1.9191753029557113E-4</v>
      </c>
      <c r="D1632" s="1" t="str">
        <f t="shared" ca="1" si="101"/>
        <v>=B1632/B1631-1</v>
      </c>
      <c r="E1632" s="8">
        <f>VLOOKUP(A1632,'[1]S&amp;P500_DAILY'!$A$8:$B$1768,2,0)</f>
        <v>5520.07</v>
      </c>
      <c r="F1632" s="1">
        <f t="shared" si="102"/>
        <v>-1.6024800458679378E-3</v>
      </c>
      <c r="G1632" s="1" t="str">
        <f t="shared" ca="1" si="103"/>
        <v>=E1632/E1631-1</v>
      </c>
    </row>
    <row r="1633" spans="1:7">
      <c r="A1633" s="14">
        <v>45540</v>
      </c>
      <c r="B1633" s="11">
        <f>VLOOKUP(A1633,[1]HD_price_daily!$A$8:$B$1768,2,0)</f>
        <v>361.85</v>
      </c>
      <c r="C1633">
        <f t="shared" si="100"/>
        <v>-7.7330188937944078E-3</v>
      </c>
      <c r="D1633" s="1" t="str">
        <f t="shared" ca="1" si="101"/>
        <v>=B1633/B1632-1</v>
      </c>
      <c r="E1633" s="8">
        <f>VLOOKUP(A1633,'[1]S&amp;P500_DAILY'!$A$8:$B$1768,2,0)</f>
        <v>5503.41</v>
      </c>
      <c r="F1633" s="1">
        <f t="shared" si="102"/>
        <v>-3.0180776693048417E-3</v>
      </c>
      <c r="G1633" s="1" t="str">
        <f t="shared" ca="1" si="103"/>
        <v>=E1633/E1632-1</v>
      </c>
    </row>
    <row r="1634" spans="1:7">
      <c r="A1634" s="14">
        <v>45541</v>
      </c>
      <c r="B1634" s="11">
        <f>VLOOKUP(A1634,[1]HD_price_daily!$A$8:$B$1768,2,0)</f>
        <v>360.05</v>
      </c>
      <c r="C1634">
        <f t="shared" si="100"/>
        <v>-4.9744369213763351E-3</v>
      </c>
      <c r="D1634" s="1" t="str">
        <f t="shared" ca="1" si="101"/>
        <v>=B1634/B1633-1</v>
      </c>
      <c r="E1634" s="8">
        <f>VLOOKUP(A1634,'[1]S&amp;P500_DAILY'!$A$8:$B$1768,2,0)</f>
        <v>5408.42</v>
      </c>
      <c r="F1634" s="1">
        <f t="shared" si="102"/>
        <v>-1.726020776209658E-2</v>
      </c>
      <c r="G1634" s="1" t="str">
        <f t="shared" ca="1" si="103"/>
        <v>=E1634/E1633-1</v>
      </c>
    </row>
    <row r="1635" spans="1:7">
      <c r="A1635" s="14">
        <v>45544</v>
      </c>
      <c r="B1635" s="11">
        <f>VLOOKUP(A1635,[1]HD_price_daily!$A$8:$B$1768,2,0)</f>
        <v>365.52</v>
      </c>
      <c r="C1635">
        <f t="shared" si="100"/>
        <v>1.5192334398000273E-2</v>
      </c>
      <c r="D1635" s="1" t="str">
        <f t="shared" ca="1" si="101"/>
        <v>=B1635/B1634-1</v>
      </c>
      <c r="E1635" s="8">
        <f>VLOOKUP(A1635,'[1]S&amp;P500_DAILY'!$A$8:$B$1768,2,0)</f>
        <v>5471.05</v>
      </c>
      <c r="F1635" s="1">
        <f t="shared" si="102"/>
        <v>1.1580091782812829E-2</v>
      </c>
      <c r="G1635" s="1" t="str">
        <f t="shared" ca="1" si="103"/>
        <v>=E1635/E1634-1</v>
      </c>
    </row>
    <row r="1636" spans="1:7">
      <c r="A1636" s="14">
        <v>45545</v>
      </c>
      <c r="B1636" s="11">
        <f>VLOOKUP(A1636,[1]HD_price_daily!$A$8:$B$1768,2,0)</f>
        <v>370.87</v>
      </c>
      <c r="C1636">
        <f t="shared" si="100"/>
        <v>1.4636681987305833E-2</v>
      </c>
      <c r="D1636" s="1" t="str">
        <f t="shared" ca="1" si="101"/>
        <v>=B1636/B1635-1</v>
      </c>
      <c r="E1636" s="8">
        <f>VLOOKUP(A1636,'[1]S&amp;P500_DAILY'!$A$8:$B$1768,2,0)</f>
        <v>5495.52</v>
      </c>
      <c r="F1636" s="1">
        <f t="shared" si="102"/>
        <v>4.4726332239699573E-3</v>
      </c>
      <c r="G1636" s="1" t="str">
        <f t="shared" ca="1" si="103"/>
        <v>=E1636/E1635-1</v>
      </c>
    </row>
    <row r="1637" spans="1:7">
      <c r="A1637" s="14">
        <v>45546</v>
      </c>
      <c r="B1637" s="11">
        <f>VLOOKUP(A1637,[1]HD_price_daily!$A$8:$B$1768,2,0)</f>
        <v>370.49</v>
      </c>
      <c r="C1637">
        <f t="shared" si="100"/>
        <v>-1.0246177906004794E-3</v>
      </c>
      <c r="D1637" s="1" t="str">
        <f t="shared" ca="1" si="101"/>
        <v>=B1637/B1636-1</v>
      </c>
      <c r="E1637" s="8">
        <f>VLOOKUP(A1637,'[1]S&amp;P500_DAILY'!$A$8:$B$1768,2,0)</f>
        <v>5554.13</v>
      </c>
      <c r="F1637" s="1">
        <f t="shared" si="102"/>
        <v>1.0665050805019227E-2</v>
      </c>
      <c r="G1637" s="1" t="str">
        <f t="shared" ca="1" si="103"/>
        <v>=E1637/E1636-1</v>
      </c>
    </row>
    <row r="1638" spans="1:7">
      <c r="A1638" s="14">
        <v>45547</v>
      </c>
      <c r="B1638" s="11">
        <f>VLOOKUP(A1638,[1]HD_price_daily!$A$8:$B$1768,2,0)</f>
        <v>374.43</v>
      </c>
      <c r="C1638">
        <f t="shared" si="100"/>
        <v>1.0634565035493537E-2</v>
      </c>
      <c r="D1638" s="1" t="str">
        <f t="shared" ca="1" si="101"/>
        <v>=B1638/B1637-1</v>
      </c>
      <c r="E1638" s="8">
        <f>VLOOKUP(A1638,'[1]S&amp;P500_DAILY'!$A$8:$B$1768,2,0)</f>
        <v>5595.76</v>
      </c>
      <c r="F1638" s="1">
        <f t="shared" si="102"/>
        <v>7.4953232999588337E-3</v>
      </c>
      <c r="G1638" s="1" t="str">
        <f t="shared" ca="1" si="103"/>
        <v>=E1638/E1637-1</v>
      </c>
    </row>
    <row r="1639" spans="1:7">
      <c r="A1639" s="14">
        <v>45548</v>
      </c>
      <c r="B1639" s="11">
        <f>VLOOKUP(A1639,[1]HD_price_daily!$A$8:$B$1768,2,0)</f>
        <v>379.99</v>
      </c>
      <c r="C1639">
        <f t="shared" si="100"/>
        <v>1.4849237507678303E-2</v>
      </c>
      <c r="D1639" s="1" t="str">
        <f t="shared" ca="1" si="101"/>
        <v>=B1639/B1638-1</v>
      </c>
      <c r="E1639" s="8">
        <f>VLOOKUP(A1639,'[1]S&amp;P500_DAILY'!$A$8:$B$1768,2,0)</f>
        <v>5626.02</v>
      </c>
      <c r="F1639" s="1">
        <f t="shared" si="102"/>
        <v>5.4076658041088965E-3</v>
      </c>
      <c r="G1639" s="1" t="str">
        <f t="shared" ca="1" si="103"/>
        <v>=E1639/E1638-1</v>
      </c>
    </row>
    <row r="1640" spans="1:7">
      <c r="A1640" s="14">
        <v>45551</v>
      </c>
      <c r="B1640" s="11">
        <f>VLOOKUP(A1640,[1]HD_price_daily!$A$8:$B$1768,2,0)</f>
        <v>382.01</v>
      </c>
      <c r="C1640">
        <f t="shared" si="100"/>
        <v>5.3159293665623331E-3</v>
      </c>
      <c r="D1640" s="1" t="str">
        <f t="shared" ca="1" si="101"/>
        <v>=B1640/B1639-1</v>
      </c>
      <c r="E1640" s="8">
        <f>VLOOKUP(A1640,'[1]S&amp;P500_DAILY'!$A$8:$B$1768,2,0)</f>
        <v>5633.09</v>
      </c>
      <c r="F1640" s="1">
        <f t="shared" si="102"/>
        <v>1.2566610143582846E-3</v>
      </c>
      <c r="G1640" s="1" t="str">
        <f t="shared" ca="1" si="103"/>
        <v>=E1640/E1639-1</v>
      </c>
    </row>
    <row r="1641" spans="1:7">
      <c r="A1641" s="14">
        <v>45552</v>
      </c>
      <c r="B1641" s="11">
        <f>VLOOKUP(A1641,[1]HD_price_daily!$A$8:$B$1768,2,0)</f>
        <v>383.24</v>
      </c>
      <c r="C1641">
        <f t="shared" si="100"/>
        <v>3.219810999712136E-3</v>
      </c>
      <c r="D1641" s="1" t="str">
        <f t="shared" ca="1" si="101"/>
        <v>=B1641/B1640-1</v>
      </c>
      <c r="E1641" s="8">
        <f>VLOOKUP(A1641,'[1]S&amp;P500_DAILY'!$A$8:$B$1768,2,0)</f>
        <v>5634.58</v>
      </c>
      <c r="F1641" s="1">
        <f t="shared" si="102"/>
        <v>2.6450846693371055E-4</v>
      </c>
      <c r="G1641" s="1" t="str">
        <f t="shared" ca="1" si="103"/>
        <v>=E1641/E1640-1</v>
      </c>
    </row>
    <row r="1642" spans="1:7">
      <c r="A1642" s="14">
        <v>45553</v>
      </c>
      <c r="B1642" s="11">
        <f>VLOOKUP(A1642,[1]HD_price_daily!$A$8:$B$1768,2,0)</f>
        <v>384.01</v>
      </c>
      <c r="C1642">
        <f t="shared" si="100"/>
        <v>2.0091848450056737E-3</v>
      </c>
      <c r="D1642" s="1" t="str">
        <f t="shared" ca="1" si="101"/>
        <v>=B1642/B1641-1</v>
      </c>
      <c r="E1642" s="8">
        <f>VLOOKUP(A1642,'[1]S&amp;P500_DAILY'!$A$8:$B$1768,2,0)</f>
        <v>5618.26</v>
      </c>
      <c r="F1642" s="1">
        <f t="shared" si="102"/>
        <v>-2.8964004415590328E-3</v>
      </c>
      <c r="G1642" s="1" t="str">
        <f t="shared" ca="1" si="103"/>
        <v>=E1642/E1641-1</v>
      </c>
    </row>
    <row r="1643" spans="1:7">
      <c r="A1643" s="14">
        <v>45554</v>
      </c>
      <c r="B1643" s="11">
        <f>VLOOKUP(A1643,[1]HD_price_daily!$A$8:$B$1768,2,0)</f>
        <v>390.34</v>
      </c>
      <c r="C1643">
        <f t="shared" si="100"/>
        <v>1.6483945730579874E-2</v>
      </c>
      <c r="D1643" s="1" t="str">
        <f t="shared" ca="1" si="101"/>
        <v>=B1643/B1642-1</v>
      </c>
      <c r="E1643" s="8">
        <f>VLOOKUP(A1643,'[1]S&amp;P500_DAILY'!$A$8:$B$1768,2,0)</f>
        <v>5713.64</v>
      </c>
      <c r="F1643" s="1">
        <f t="shared" si="102"/>
        <v>1.6976786407179478E-2</v>
      </c>
      <c r="G1643" s="1" t="str">
        <f t="shared" ca="1" si="103"/>
        <v>=E1643/E1642-1</v>
      </c>
    </row>
    <row r="1644" spans="1:7">
      <c r="A1644" s="14">
        <v>45555</v>
      </c>
      <c r="B1644" s="11">
        <f>VLOOKUP(A1644,[1]HD_price_daily!$A$8:$B$1768,2,0)</f>
        <v>389.86</v>
      </c>
      <c r="C1644">
        <f t="shared" si="100"/>
        <v>-1.2296971870675577E-3</v>
      </c>
      <c r="D1644" s="1" t="str">
        <f t="shared" ca="1" si="101"/>
        <v>=B1644/B1643-1</v>
      </c>
      <c r="E1644" s="8">
        <f>VLOOKUP(A1644,'[1]S&amp;P500_DAILY'!$A$8:$B$1768,2,0)</f>
        <v>5702.55</v>
      </c>
      <c r="F1644" s="1">
        <f t="shared" si="102"/>
        <v>-1.9409693295342478E-3</v>
      </c>
      <c r="G1644" s="1" t="str">
        <f t="shared" ca="1" si="103"/>
        <v>=E1644/E1643-1</v>
      </c>
    </row>
    <row r="1645" spans="1:7">
      <c r="A1645" s="14">
        <v>45558</v>
      </c>
      <c r="B1645" s="11">
        <f>VLOOKUP(A1645,[1]HD_price_daily!$A$8:$B$1768,2,0)</f>
        <v>391.96</v>
      </c>
      <c r="C1645">
        <f t="shared" si="100"/>
        <v>5.386549017595943E-3</v>
      </c>
      <c r="D1645" s="1" t="str">
        <f t="shared" ca="1" si="101"/>
        <v>=B1645/B1644-1</v>
      </c>
      <c r="E1645" s="8">
        <f>VLOOKUP(A1645,'[1]S&amp;P500_DAILY'!$A$8:$B$1768,2,0)</f>
        <v>5718.57</v>
      </c>
      <c r="F1645" s="1">
        <f t="shared" si="102"/>
        <v>2.8092695373120868E-3</v>
      </c>
      <c r="G1645" s="1" t="str">
        <f t="shared" ca="1" si="103"/>
        <v>=E1645/E1644-1</v>
      </c>
    </row>
    <row r="1646" spans="1:7">
      <c r="A1646" s="14">
        <v>45559</v>
      </c>
      <c r="B1646" s="11">
        <f>VLOOKUP(A1646,[1]HD_price_daily!$A$8:$B$1768,2,0)</f>
        <v>400.66</v>
      </c>
      <c r="C1646">
        <f t="shared" si="100"/>
        <v>2.2196142463516866E-2</v>
      </c>
      <c r="D1646" s="1" t="str">
        <f t="shared" ca="1" si="101"/>
        <v>=B1646/B1645-1</v>
      </c>
      <c r="E1646" s="8">
        <f>VLOOKUP(A1646,'[1]S&amp;P500_DAILY'!$A$8:$B$1768,2,0)</f>
        <v>5732.93</v>
      </c>
      <c r="F1646" s="1">
        <f t="shared" si="102"/>
        <v>2.5111172898120149E-3</v>
      </c>
      <c r="G1646" s="1" t="str">
        <f t="shared" ca="1" si="103"/>
        <v>=E1646/E1645-1</v>
      </c>
    </row>
    <row r="1647" spans="1:7">
      <c r="A1647" s="14">
        <v>45560</v>
      </c>
      <c r="B1647" s="11">
        <f>VLOOKUP(A1647,[1]HD_price_daily!$A$8:$B$1768,2,0)</f>
        <v>396.93</v>
      </c>
      <c r="C1647">
        <f t="shared" si="100"/>
        <v>-9.309639095492428E-3</v>
      </c>
      <c r="D1647" s="1" t="str">
        <f t="shared" ca="1" si="101"/>
        <v>=B1647/B1646-1</v>
      </c>
      <c r="E1647" s="8">
        <f>VLOOKUP(A1647,'[1]S&amp;P500_DAILY'!$A$8:$B$1768,2,0)</f>
        <v>5722.26</v>
      </c>
      <c r="F1647" s="1">
        <f t="shared" si="102"/>
        <v>-1.8611774432969463E-3</v>
      </c>
      <c r="G1647" s="1" t="str">
        <f t="shared" ca="1" si="103"/>
        <v>=E1647/E1646-1</v>
      </c>
    </row>
    <row r="1648" spans="1:7">
      <c r="A1648" s="14">
        <v>45561</v>
      </c>
      <c r="B1648" s="11">
        <f>VLOOKUP(A1648,[1]HD_price_daily!$A$8:$B$1768,2,0)</f>
        <v>396.7</v>
      </c>
      <c r="C1648">
        <f t="shared" si="100"/>
        <v>-5.7944725770286976E-4</v>
      </c>
      <c r="D1648" s="1" t="str">
        <f t="shared" ca="1" si="101"/>
        <v>=B1648/B1647-1</v>
      </c>
      <c r="E1648" s="8">
        <f>VLOOKUP(A1648,'[1]S&amp;P500_DAILY'!$A$8:$B$1768,2,0)</f>
        <v>5745.37</v>
      </c>
      <c r="F1648" s="1">
        <f t="shared" si="102"/>
        <v>4.0386141140038578E-3</v>
      </c>
      <c r="G1648" s="1" t="str">
        <f t="shared" ca="1" si="103"/>
        <v>=E1648/E1647-1</v>
      </c>
    </row>
    <row r="1649" spans="1:7">
      <c r="A1649" s="14">
        <v>45562</v>
      </c>
      <c r="B1649" s="11">
        <f>VLOOKUP(A1649,[1]HD_price_daily!$A$8:$B$1768,2,0)</f>
        <v>399.53</v>
      </c>
      <c r="C1649">
        <f t="shared" si="100"/>
        <v>7.1338542979582087E-3</v>
      </c>
      <c r="D1649" s="1" t="str">
        <f t="shared" ca="1" si="101"/>
        <v>=B1649/B1648-1</v>
      </c>
      <c r="E1649" s="8">
        <f>VLOOKUP(A1649,'[1]S&amp;P500_DAILY'!$A$8:$B$1768,2,0)</f>
        <v>5738.17</v>
      </c>
      <c r="F1649" s="1">
        <f t="shared" si="102"/>
        <v>-1.2531829977877607E-3</v>
      </c>
      <c r="G1649" s="1" t="str">
        <f t="shared" ca="1" si="103"/>
        <v>=E1649/E1648-1</v>
      </c>
    </row>
    <row r="1650" spans="1:7">
      <c r="A1650" s="14">
        <v>45565</v>
      </c>
      <c r="B1650" s="11">
        <f>VLOOKUP(A1650,[1]HD_price_daily!$A$8:$B$1768,2,0)</f>
        <v>405.2</v>
      </c>
      <c r="C1650">
        <f t="shared" si="100"/>
        <v>1.4191675218381716E-2</v>
      </c>
      <c r="D1650" s="1" t="str">
        <f t="shared" ca="1" si="101"/>
        <v>=B1650/B1649-1</v>
      </c>
      <c r="E1650" s="8">
        <f>VLOOKUP(A1650,'[1]S&amp;P500_DAILY'!$A$8:$B$1768,2,0)</f>
        <v>5762.48</v>
      </c>
      <c r="F1650" s="1">
        <f t="shared" si="102"/>
        <v>4.2365423122701085E-3</v>
      </c>
      <c r="G1650" s="1" t="str">
        <f t="shared" ca="1" si="103"/>
        <v>=E1650/E1649-1</v>
      </c>
    </row>
    <row r="1651" spans="1:7">
      <c r="A1651" s="14">
        <v>45566</v>
      </c>
      <c r="B1651" s="11">
        <f>VLOOKUP(A1651,[1]HD_price_daily!$A$8:$B$1768,2,0)</f>
        <v>409.05</v>
      </c>
      <c r="C1651">
        <f t="shared" si="100"/>
        <v>9.5014807502469267E-3</v>
      </c>
      <c r="D1651" s="1" t="str">
        <f t="shared" ca="1" si="101"/>
        <v>=B1651/B1650-1</v>
      </c>
      <c r="E1651" s="8">
        <f>VLOOKUP(A1651,'[1]S&amp;P500_DAILY'!$A$8:$B$1768,2,0)</f>
        <v>5708.75</v>
      </c>
      <c r="F1651" s="1">
        <f t="shared" si="102"/>
        <v>-9.3241104524439677E-3</v>
      </c>
      <c r="G1651" s="1" t="str">
        <f t="shared" ca="1" si="103"/>
        <v>=E1651/E1650-1</v>
      </c>
    </row>
    <row r="1652" spans="1:7">
      <c r="A1652" s="14">
        <v>45567</v>
      </c>
      <c r="B1652" s="11">
        <f>VLOOKUP(A1652,[1]HD_price_daily!$A$8:$B$1768,2,0)</f>
        <v>411.26</v>
      </c>
      <c r="C1652">
        <f t="shared" si="100"/>
        <v>5.4027624984720468E-3</v>
      </c>
      <c r="D1652" s="1" t="str">
        <f t="shared" ca="1" si="101"/>
        <v>=B1652/B1651-1</v>
      </c>
      <c r="E1652" s="8">
        <f>VLOOKUP(A1652,'[1]S&amp;P500_DAILY'!$A$8:$B$1768,2,0)</f>
        <v>5709.54</v>
      </c>
      <c r="F1652" s="1">
        <f t="shared" si="102"/>
        <v>1.3838405955768351E-4</v>
      </c>
      <c r="G1652" s="1" t="str">
        <f t="shared" ca="1" si="103"/>
        <v>=E1652/E1651-1</v>
      </c>
    </row>
    <row r="1653" spans="1:7">
      <c r="A1653" s="14">
        <v>45568</v>
      </c>
      <c r="B1653" s="11">
        <f>VLOOKUP(A1653,[1]HD_price_daily!$A$8:$B$1768,2,0)</f>
        <v>411.58</v>
      </c>
      <c r="C1653">
        <f t="shared" si="100"/>
        <v>7.7809658123806358E-4</v>
      </c>
      <c r="D1653" s="1" t="str">
        <f t="shared" ca="1" si="101"/>
        <v>=B1653/B1652-1</v>
      </c>
      <c r="E1653" s="8">
        <f>VLOOKUP(A1653,'[1]S&amp;P500_DAILY'!$A$8:$B$1768,2,0)</f>
        <v>5699.94</v>
      </c>
      <c r="F1653" s="1">
        <f t="shared" si="102"/>
        <v>-1.681396399709989E-3</v>
      </c>
      <c r="G1653" s="1" t="str">
        <f t="shared" ca="1" si="103"/>
        <v>=E1653/E1652-1</v>
      </c>
    </row>
    <row r="1654" spans="1:7">
      <c r="A1654" s="14">
        <v>45569</v>
      </c>
      <c r="B1654" s="11">
        <f>VLOOKUP(A1654,[1]HD_price_daily!$A$8:$B$1768,2,0)</f>
        <v>408.36</v>
      </c>
      <c r="C1654">
        <f t="shared" si="100"/>
        <v>-7.8235094027891972E-3</v>
      </c>
      <c r="D1654" s="1" t="str">
        <f t="shared" ca="1" si="101"/>
        <v>=B1654/B1653-1</v>
      </c>
      <c r="E1654" s="8">
        <f>VLOOKUP(A1654,'[1]S&amp;P500_DAILY'!$A$8:$B$1768,2,0)</f>
        <v>5751.07</v>
      </c>
      <c r="F1654" s="1">
        <f t="shared" si="102"/>
        <v>8.9702698624898325E-3</v>
      </c>
      <c r="G1654" s="1" t="str">
        <f t="shared" ca="1" si="103"/>
        <v>=E1654/E1653-1</v>
      </c>
    </row>
    <row r="1655" spans="1:7">
      <c r="A1655" s="14">
        <v>45572</v>
      </c>
      <c r="B1655" s="11">
        <f>VLOOKUP(A1655,[1]HD_price_daily!$A$8:$B$1768,2,0)</f>
        <v>408.06</v>
      </c>
      <c r="C1655">
        <f t="shared" si="100"/>
        <v>-7.3464590067595648E-4</v>
      </c>
      <c r="D1655" s="1" t="str">
        <f t="shared" ca="1" si="101"/>
        <v>=B1655/B1654-1</v>
      </c>
      <c r="E1655" s="8">
        <f>VLOOKUP(A1655,'[1]S&amp;P500_DAILY'!$A$8:$B$1768,2,0)</f>
        <v>5695.94</v>
      </c>
      <c r="F1655" s="1">
        <f t="shared" si="102"/>
        <v>-9.5860422495291919E-3</v>
      </c>
      <c r="G1655" s="1" t="str">
        <f t="shared" ca="1" si="103"/>
        <v>=E1655/E1654-1</v>
      </c>
    </row>
    <row r="1656" spans="1:7">
      <c r="A1656" s="14">
        <v>45573</v>
      </c>
      <c r="B1656" s="11">
        <f>VLOOKUP(A1656,[1]HD_price_daily!$A$8:$B$1768,2,0)</f>
        <v>414.18</v>
      </c>
      <c r="C1656">
        <f t="shared" si="100"/>
        <v>1.4997794441993895E-2</v>
      </c>
      <c r="D1656" s="1" t="str">
        <f t="shared" ca="1" si="101"/>
        <v>=B1656/B1655-1</v>
      </c>
      <c r="E1656" s="8">
        <f>VLOOKUP(A1656,'[1]S&amp;P500_DAILY'!$A$8:$B$1768,2,0)</f>
        <v>5751.13</v>
      </c>
      <c r="F1656" s="1">
        <f t="shared" si="102"/>
        <v>9.68935768284096E-3</v>
      </c>
      <c r="G1656" s="1" t="str">
        <f t="shared" ca="1" si="103"/>
        <v>=E1656/E1655-1</v>
      </c>
    </row>
    <row r="1657" spans="1:7">
      <c r="A1657" s="14">
        <v>45574</v>
      </c>
      <c r="B1657" s="11">
        <f>VLOOKUP(A1657,[1]HD_price_daily!$A$8:$B$1768,2,0)</f>
        <v>416.07</v>
      </c>
      <c r="C1657">
        <f t="shared" si="100"/>
        <v>4.5632333767926525E-3</v>
      </c>
      <c r="D1657" s="1" t="str">
        <f t="shared" ca="1" si="101"/>
        <v>=B1657/B1656-1</v>
      </c>
      <c r="E1657" s="8">
        <f>VLOOKUP(A1657,'[1]S&amp;P500_DAILY'!$A$8:$B$1768,2,0)</f>
        <v>5792.04</v>
      </c>
      <c r="F1657" s="1">
        <f t="shared" si="102"/>
        <v>7.1133846739683815E-3</v>
      </c>
      <c r="G1657" s="1" t="str">
        <f t="shared" ca="1" si="103"/>
        <v>=E1657/E1656-1</v>
      </c>
    </row>
    <row r="1658" spans="1:7">
      <c r="A1658" s="14">
        <v>45575</v>
      </c>
      <c r="B1658" s="11">
        <f>VLOOKUP(A1658,[1]HD_price_daily!$A$8:$B$1768,2,0)</f>
        <v>409.96</v>
      </c>
      <c r="C1658">
        <f t="shared" si="100"/>
        <v>-1.4685028961472835E-2</v>
      </c>
      <c r="D1658" s="1" t="str">
        <f t="shared" ca="1" si="101"/>
        <v>=B1658/B1657-1</v>
      </c>
      <c r="E1658" s="8">
        <f>VLOOKUP(A1658,'[1]S&amp;P500_DAILY'!$A$8:$B$1768,2,0)</f>
        <v>5780.05</v>
      </c>
      <c r="F1658" s="1">
        <f t="shared" si="102"/>
        <v>-2.0700823889336917E-3</v>
      </c>
      <c r="G1658" s="1" t="str">
        <f t="shared" ca="1" si="103"/>
        <v>=E1658/E1657-1</v>
      </c>
    </row>
    <row r="1659" spans="1:7">
      <c r="A1659" s="14">
        <v>45576</v>
      </c>
      <c r="B1659" s="11">
        <f>VLOOKUP(A1659,[1]HD_price_daily!$A$8:$B$1768,2,0)</f>
        <v>411.9</v>
      </c>
      <c r="C1659">
        <f t="shared" si="100"/>
        <v>4.7321689920967192E-3</v>
      </c>
      <c r="D1659" s="1" t="str">
        <f t="shared" ca="1" si="101"/>
        <v>=B1659/B1658-1</v>
      </c>
      <c r="E1659" s="8">
        <f>VLOOKUP(A1659,'[1]S&amp;P500_DAILY'!$A$8:$B$1768,2,0)</f>
        <v>5815.03</v>
      </c>
      <c r="F1659" s="1">
        <f t="shared" si="102"/>
        <v>6.0518507625366702E-3</v>
      </c>
      <c r="G1659" s="1" t="str">
        <f t="shared" ca="1" si="103"/>
        <v>=E1659/E1658-1</v>
      </c>
    </row>
    <row r="1660" spans="1:7">
      <c r="A1660" s="14">
        <v>45579</v>
      </c>
      <c r="B1660" s="11">
        <f>VLOOKUP(A1660,[1]HD_price_daily!$A$8:$B$1768,2,0)</f>
        <v>415.42</v>
      </c>
      <c r="C1660">
        <f t="shared" si="100"/>
        <v>8.5457635348387129E-3</v>
      </c>
      <c r="D1660" s="1" t="str">
        <f t="shared" ca="1" si="101"/>
        <v>=B1660/B1659-1</v>
      </c>
      <c r="E1660" s="8">
        <f>VLOOKUP(A1660,'[1]S&amp;P500_DAILY'!$A$8:$B$1768,2,0)</f>
        <v>5859.85</v>
      </c>
      <c r="F1660" s="1">
        <f t="shared" si="102"/>
        <v>7.7076128584032677E-3</v>
      </c>
      <c r="G1660" s="1" t="str">
        <f t="shared" ca="1" si="103"/>
        <v>=E1660/E1659-1</v>
      </c>
    </row>
    <row r="1661" spans="1:7">
      <c r="A1661" s="14">
        <v>45580</v>
      </c>
      <c r="B1661" s="11">
        <f>VLOOKUP(A1661,[1]HD_price_daily!$A$8:$B$1768,2,0)</f>
        <v>415.58</v>
      </c>
      <c r="C1661">
        <f t="shared" si="100"/>
        <v>3.8515237590863727E-4</v>
      </c>
      <c r="D1661" s="1" t="str">
        <f t="shared" ca="1" si="101"/>
        <v>=B1661/B1660-1</v>
      </c>
      <c r="E1661" s="8">
        <f>VLOOKUP(A1661,'[1]S&amp;P500_DAILY'!$A$8:$B$1768,2,0)</f>
        <v>5815.26</v>
      </c>
      <c r="F1661" s="1">
        <f t="shared" si="102"/>
        <v>-7.6094097971791674E-3</v>
      </c>
      <c r="G1661" s="1" t="str">
        <f t="shared" ca="1" si="103"/>
        <v>=E1661/E1660-1</v>
      </c>
    </row>
    <row r="1662" spans="1:7">
      <c r="A1662" s="14">
        <v>45581</v>
      </c>
      <c r="B1662" s="11">
        <f>VLOOKUP(A1662,[1]HD_price_daily!$A$8:$B$1768,2,0)</f>
        <v>418.61</v>
      </c>
      <c r="C1662">
        <f t="shared" si="100"/>
        <v>7.291014967033993E-3</v>
      </c>
      <c r="D1662" s="1" t="str">
        <f t="shared" ca="1" si="101"/>
        <v>=B1662/B1661-1</v>
      </c>
      <c r="E1662" s="8">
        <f>VLOOKUP(A1662,'[1]S&amp;P500_DAILY'!$A$8:$B$1768,2,0)</f>
        <v>5842.47</v>
      </c>
      <c r="F1662" s="1">
        <f t="shared" si="102"/>
        <v>4.6790685197222182E-3</v>
      </c>
      <c r="G1662" s="1" t="str">
        <f t="shared" ca="1" si="103"/>
        <v>=E1662/E1661-1</v>
      </c>
    </row>
    <row r="1663" spans="1:7">
      <c r="A1663" s="14">
        <v>45582</v>
      </c>
      <c r="B1663" s="11">
        <f>VLOOKUP(A1663,[1]HD_price_daily!$A$8:$B$1768,2,0)</f>
        <v>415.6</v>
      </c>
      <c r="C1663">
        <f t="shared" si="100"/>
        <v>-7.1904636774084985E-3</v>
      </c>
      <c r="D1663" s="1" t="str">
        <f t="shared" ca="1" si="101"/>
        <v>=B1663/B1662-1</v>
      </c>
      <c r="E1663" s="8">
        <f>VLOOKUP(A1663,'[1]S&amp;P500_DAILY'!$A$8:$B$1768,2,0)</f>
        <v>5841.47</v>
      </c>
      <c r="F1663" s="1">
        <f t="shared" si="102"/>
        <v>-1.7116048520571248E-4</v>
      </c>
      <c r="G1663" s="1" t="str">
        <f t="shared" ca="1" si="103"/>
        <v>=E1663/E1662-1</v>
      </c>
    </row>
    <row r="1664" spans="1:7">
      <c r="A1664" s="14">
        <v>45583</v>
      </c>
      <c r="B1664" s="11">
        <f>VLOOKUP(A1664,[1]HD_price_daily!$A$8:$B$1768,2,0)</f>
        <v>415</v>
      </c>
      <c r="C1664">
        <f t="shared" si="100"/>
        <v>-1.4436958614052475E-3</v>
      </c>
      <c r="D1664" s="1" t="str">
        <f t="shared" ca="1" si="101"/>
        <v>=B1664/B1663-1</v>
      </c>
      <c r="E1664" s="8">
        <f>VLOOKUP(A1664,'[1]S&amp;P500_DAILY'!$A$8:$B$1768,2,0)</f>
        <v>5864.67</v>
      </c>
      <c r="F1664" s="1">
        <f t="shared" si="102"/>
        <v>3.9716030382763723E-3</v>
      </c>
      <c r="G1664" s="1" t="str">
        <f t="shared" ca="1" si="103"/>
        <v>=E1664/E1663-1</v>
      </c>
    </row>
    <row r="1665" spans="1:7">
      <c r="A1665" s="14">
        <v>45586</v>
      </c>
      <c r="B1665" s="11">
        <f>VLOOKUP(A1665,[1]HD_price_daily!$A$8:$B$1768,2,0)</f>
        <v>406.4</v>
      </c>
      <c r="C1665">
        <f t="shared" si="100"/>
        <v>-2.0722891566265167E-2</v>
      </c>
      <c r="D1665" s="1" t="str">
        <f t="shared" ca="1" si="101"/>
        <v>=B1665/B1664-1</v>
      </c>
      <c r="E1665" s="8">
        <f>VLOOKUP(A1665,'[1]S&amp;P500_DAILY'!$A$8:$B$1768,2,0)</f>
        <v>5853.98</v>
      </c>
      <c r="F1665" s="1">
        <f t="shared" si="102"/>
        <v>-1.8227794573267841E-3</v>
      </c>
      <c r="G1665" s="1" t="str">
        <f t="shared" ca="1" si="103"/>
        <v>=E1665/E1664-1</v>
      </c>
    </row>
    <row r="1666" spans="1:7">
      <c r="A1666" s="14">
        <v>45587</v>
      </c>
      <c r="B1666" s="11">
        <f>VLOOKUP(A1666,[1]HD_price_daily!$A$8:$B$1768,2,0)</f>
        <v>401.85</v>
      </c>
      <c r="C1666">
        <f t="shared" si="100"/>
        <v>-1.119586614173218E-2</v>
      </c>
      <c r="D1666" s="1" t="str">
        <f t="shared" ca="1" si="101"/>
        <v>=B1666/B1665-1</v>
      </c>
      <c r="E1666" s="8">
        <f>VLOOKUP(A1666,'[1]S&amp;P500_DAILY'!$A$8:$B$1768,2,0)</f>
        <v>5851.2</v>
      </c>
      <c r="F1666" s="1">
        <f t="shared" si="102"/>
        <v>-4.7489058725858069E-4</v>
      </c>
      <c r="G1666" s="1" t="str">
        <f t="shared" ca="1" si="103"/>
        <v>=E1666/E1665-1</v>
      </c>
    </row>
    <row r="1667" spans="1:7">
      <c r="A1667" s="14">
        <v>45588</v>
      </c>
      <c r="B1667" s="11">
        <f>VLOOKUP(A1667,[1]HD_price_daily!$A$8:$B$1768,2,0)</f>
        <v>399.64</v>
      </c>
      <c r="C1667">
        <f t="shared" si="100"/>
        <v>-5.4995645141222571E-3</v>
      </c>
      <c r="D1667" s="1" t="str">
        <f t="shared" ca="1" si="101"/>
        <v>=B1667/B1666-1</v>
      </c>
      <c r="E1667" s="8">
        <f>VLOOKUP(A1667,'[1]S&amp;P500_DAILY'!$A$8:$B$1768,2,0)</f>
        <v>5797.42</v>
      </c>
      <c r="F1667" s="1">
        <f t="shared" si="102"/>
        <v>-9.1912770030079249E-3</v>
      </c>
      <c r="G1667" s="1" t="str">
        <f t="shared" ca="1" si="103"/>
        <v>=E1667/E1666-1</v>
      </c>
    </row>
    <row r="1668" spans="1:7">
      <c r="A1668" s="14">
        <v>45589</v>
      </c>
      <c r="B1668" s="11">
        <f>VLOOKUP(A1668,[1]HD_price_daily!$A$8:$B$1768,2,0)</f>
        <v>402.68</v>
      </c>
      <c r="C1668">
        <f t="shared" ref="C1668:C1731" si="104">B1668/B1667-1</f>
        <v>7.6068461615454996E-3</v>
      </c>
      <c r="D1668" s="1" t="str">
        <f t="shared" ref="D1668:D1731" ca="1" si="105">_xlfn.FORMULATEXT(C1668)</f>
        <v>=B1668/B1667-1</v>
      </c>
      <c r="E1668" s="8">
        <f>VLOOKUP(A1668,'[1]S&amp;P500_DAILY'!$A$8:$B$1768,2,0)</f>
        <v>5809.86</v>
      </c>
      <c r="F1668" s="1">
        <f t="shared" ref="F1668:F1731" si="106">E1668/E1667-1</f>
        <v>2.1457820892740731E-3</v>
      </c>
      <c r="G1668" s="1" t="str">
        <f t="shared" ref="G1668:G1731" ca="1" si="107">_xlfn.FORMULATEXT(F1668)</f>
        <v>=E1668/E1667-1</v>
      </c>
    </row>
    <row r="1669" spans="1:7">
      <c r="A1669" s="14">
        <v>45590</v>
      </c>
      <c r="B1669" s="11">
        <f>VLOOKUP(A1669,[1]HD_price_daily!$A$8:$B$1768,2,0)</f>
        <v>398.91</v>
      </c>
      <c r="C1669">
        <f t="shared" si="104"/>
        <v>-9.3622727724247401E-3</v>
      </c>
      <c r="D1669" s="1" t="str">
        <f t="shared" ca="1" si="105"/>
        <v>=B1669/B1668-1</v>
      </c>
      <c r="E1669" s="8">
        <f>VLOOKUP(A1669,'[1]S&amp;P500_DAILY'!$A$8:$B$1768,2,0)</f>
        <v>5808.12</v>
      </c>
      <c r="F1669" s="1">
        <f t="shared" si="106"/>
        <v>-2.994908655286066E-4</v>
      </c>
      <c r="G1669" s="1" t="str">
        <f t="shared" ca="1" si="107"/>
        <v>=E1669/E1668-1</v>
      </c>
    </row>
    <row r="1670" spans="1:7">
      <c r="A1670" s="14">
        <v>45593</v>
      </c>
      <c r="B1670" s="11">
        <f>VLOOKUP(A1670,[1]HD_price_daily!$A$8:$B$1768,2,0)</f>
        <v>402.89</v>
      </c>
      <c r="C1670">
        <f t="shared" si="104"/>
        <v>9.9771878368553057E-3</v>
      </c>
      <c r="D1670" s="1" t="str">
        <f t="shared" ca="1" si="105"/>
        <v>=B1670/B1669-1</v>
      </c>
      <c r="E1670" s="8">
        <f>VLOOKUP(A1670,'[1]S&amp;P500_DAILY'!$A$8:$B$1768,2,0)</f>
        <v>5823.52</v>
      </c>
      <c r="F1670" s="1">
        <f t="shared" si="106"/>
        <v>2.6514603692762151E-3</v>
      </c>
      <c r="G1670" s="1" t="str">
        <f t="shared" ca="1" si="107"/>
        <v>=E1670/E1669-1</v>
      </c>
    </row>
    <row r="1671" spans="1:7">
      <c r="A1671" s="14">
        <v>45594</v>
      </c>
      <c r="B1671" s="11">
        <f>VLOOKUP(A1671,[1]HD_price_daily!$A$8:$B$1768,2,0)</f>
        <v>395.07</v>
      </c>
      <c r="C1671">
        <f t="shared" si="104"/>
        <v>-1.9409764451835509E-2</v>
      </c>
      <c r="D1671" s="1" t="str">
        <f t="shared" ca="1" si="105"/>
        <v>=B1671/B1670-1</v>
      </c>
      <c r="E1671" s="8">
        <f>VLOOKUP(A1671,'[1]S&amp;P500_DAILY'!$A$8:$B$1768,2,0)</f>
        <v>5832.92</v>
      </c>
      <c r="F1671" s="1">
        <f t="shared" si="106"/>
        <v>1.6141440228589765E-3</v>
      </c>
      <c r="G1671" s="1" t="str">
        <f t="shared" ca="1" si="107"/>
        <v>=E1671/E1670-1</v>
      </c>
    </row>
    <row r="1672" spans="1:7">
      <c r="A1672" s="14">
        <v>45595</v>
      </c>
      <c r="B1672" s="11">
        <f>VLOOKUP(A1672,[1]HD_price_daily!$A$8:$B$1768,2,0)</f>
        <v>392.52</v>
      </c>
      <c r="C1672">
        <f t="shared" si="104"/>
        <v>-6.4545523578100061E-3</v>
      </c>
      <c r="D1672" s="1" t="str">
        <f t="shared" ca="1" si="105"/>
        <v>=B1672/B1671-1</v>
      </c>
      <c r="E1672" s="8">
        <f>VLOOKUP(A1672,'[1]S&amp;P500_DAILY'!$A$8:$B$1768,2,0)</f>
        <v>5813.67</v>
      </c>
      <c r="F1672" s="1">
        <f t="shared" si="106"/>
        <v>-3.3002338451409985E-3</v>
      </c>
      <c r="G1672" s="1" t="str">
        <f t="shared" ca="1" si="107"/>
        <v>=E1672/E1671-1</v>
      </c>
    </row>
    <row r="1673" spans="1:7">
      <c r="A1673" s="14">
        <v>45596</v>
      </c>
      <c r="B1673" s="11">
        <f>VLOOKUP(A1673,[1]HD_price_daily!$A$8:$B$1768,2,0)</f>
        <v>393.75</v>
      </c>
      <c r="C1673">
        <f t="shared" si="104"/>
        <v>3.1335982879854285E-3</v>
      </c>
      <c r="D1673" s="1" t="str">
        <f t="shared" ca="1" si="105"/>
        <v>=B1673/B1672-1</v>
      </c>
      <c r="E1673" s="8">
        <f>VLOOKUP(A1673,'[1]S&amp;P500_DAILY'!$A$8:$B$1768,2,0)</f>
        <v>5705.45</v>
      </c>
      <c r="F1673" s="1">
        <f t="shared" si="106"/>
        <v>-1.8614747655095742E-2</v>
      </c>
      <c r="G1673" s="1" t="str">
        <f t="shared" ca="1" si="107"/>
        <v>=E1673/E1672-1</v>
      </c>
    </row>
    <row r="1674" spans="1:7">
      <c r="A1674" s="14">
        <v>45597</v>
      </c>
      <c r="B1674" s="11">
        <f>VLOOKUP(A1674,[1]HD_price_daily!$A$8:$B$1768,2,0)</f>
        <v>392.59</v>
      </c>
      <c r="C1674">
        <f t="shared" si="104"/>
        <v>-2.9460317460318075E-3</v>
      </c>
      <c r="D1674" s="1" t="str">
        <f t="shared" ca="1" si="105"/>
        <v>=B1674/B1673-1</v>
      </c>
      <c r="E1674" s="8">
        <f>VLOOKUP(A1674,'[1]S&amp;P500_DAILY'!$A$8:$B$1768,2,0)</f>
        <v>5728.8</v>
      </c>
      <c r="F1674" s="1">
        <f t="shared" si="106"/>
        <v>4.0925781489629109E-3</v>
      </c>
      <c r="G1674" s="1" t="str">
        <f t="shared" ca="1" si="107"/>
        <v>=E1674/E1673-1</v>
      </c>
    </row>
    <row r="1675" spans="1:7">
      <c r="A1675" s="14">
        <v>45600</v>
      </c>
      <c r="B1675" s="11">
        <f>VLOOKUP(A1675,[1]HD_price_daily!$A$8:$B$1768,2,0)</f>
        <v>395.57</v>
      </c>
      <c r="C1675">
        <f t="shared" si="104"/>
        <v>7.5906161644463399E-3</v>
      </c>
      <c r="D1675" s="1" t="str">
        <f t="shared" ca="1" si="105"/>
        <v>=B1675/B1674-1</v>
      </c>
      <c r="E1675" s="8">
        <f>VLOOKUP(A1675,'[1]S&amp;P500_DAILY'!$A$8:$B$1768,2,0)</f>
        <v>5712.69</v>
      </c>
      <c r="F1675" s="1">
        <f t="shared" si="106"/>
        <v>-2.8121072475911779E-3</v>
      </c>
      <c r="G1675" s="1" t="str">
        <f t="shared" ca="1" si="107"/>
        <v>=E1675/E1674-1</v>
      </c>
    </row>
    <row r="1676" spans="1:7">
      <c r="A1676" s="14">
        <v>45601</v>
      </c>
      <c r="B1676" s="11">
        <f>VLOOKUP(A1676,[1]HD_price_daily!$A$8:$B$1768,2,0)</f>
        <v>400.09</v>
      </c>
      <c r="C1676">
        <f t="shared" si="104"/>
        <v>1.1426549030512989E-2</v>
      </c>
      <c r="D1676" s="1" t="str">
        <f t="shared" ca="1" si="105"/>
        <v>=B1676/B1675-1</v>
      </c>
      <c r="E1676" s="8">
        <f>VLOOKUP(A1676,'[1]S&amp;P500_DAILY'!$A$8:$B$1768,2,0)</f>
        <v>5782.76</v>
      </c>
      <c r="F1676" s="1">
        <f t="shared" si="106"/>
        <v>1.2265675189796932E-2</v>
      </c>
      <c r="G1676" s="1" t="str">
        <f t="shared" ca="1" si="107"/>
        <v>=E1676/E1675-1</v>
      </c>
    </row>
    <row r="1677" spans="1:7">
      <c r="A1677" s="14">
        <v>45602</v>
      </c>
      <c r="B1677" s="11">
        <f>VLOOKUP(A1677,[1]HD_price_daily!$A$8:$B$1768,2,0)</f>
        <v>388.37</v>
      </c>
      <c r="C1677">
        <f t="shared" si="104"/>
        <v>-2.9293408982978719E-2</v>
      </c>
      <c r="D1677" s="1" t="str">
        <f t="shared" ca="1" si="105"/>
        <v>=B1677/B1676-1</v>
      </c>
      <c r="E1677" s="8">
        <f>VLOOKUP(A1677,'[1]S&amp;P500_DAILY'!$A$8:$B$1768,2,0)</f>
        <v>5929.04</v>
      </c>
      <c r="F1677" s="1">
        <f t="shared" si="106"/>
        <v>2.5295879476236127E-2</v>
      </c>
      <c r="G1677" s="1" t="str">
        <f t="shared" ca="1" si="107"/>
        <v>=E1677/E1676-1</v>
      </c>
    </row>
    <row r="1678" spans="1:7">
      <c r="A1678" s="14">
        <v>45603</v>
      </c>
      <c r="B1678" s="11">
        <f>VLOOKUP(A1678,[1]HD_price_daily!$A$8:$B$1768,2,0)</f>
        <v>399.44</v>
      </c>
      <c r="C1678">
        <f t="shared" si="104"/>
        <v>2.8503746427375853E-2</v>
      </c>
      <c r="D1678" s="1" t="str">
        <f t="shared" ca="1" si="105"/>
        <v>=B1678/B1677-1</v>
      </c>
      <c r="E1678" s="8">
        <f>VLOOKUP(A1678,'[1]S&amp;P500_DAILY'!$A$8:$B$1768,2,0)</f>
        <v>5973.1</v>
      </c>
      <c r="F1678" s="1">
        <f t="shared" si="106"/>
        <v>7.4312198939459062E-3</v>
      </c>
      <c r="G1678" s="1" t="str">
        <f t="shared" ca="1" si="107"/>
        <v>=E1678/E1677-1</v>
      </c>
    </row>
    <row r="1679" spans="1:7">
      <c r="A1679" s="14">
        <v>45604</v>
      </c>
      <c r="B1679" s="11">
        <f>VLOOKUP(A1679,[1]HD_price_daily!$A$8:$B$1768,2,0)</f>
        <v>405.9</v>
      </c>
      <c r="C1679">
        <f t="shared" si="104"/>
        <v>1.6172641698377621E-2</v>
      </c>
      <c r="D1679" s="1" t="str">
        <f t="shared" ca="1" si="105"/>
        <v>=B1679/B1678-1</v>
      </c>
      <c r="E1679" s="8">
        <f>VLOOKUP(A1679,'[1]S&amp;P500_DAILY'!$A$8:$B$1768,2,0)</f>
        <v>5995.54</v>
      </c>
      <c r="F1679" s="1">
        <f t="shared" si="106"/>
        <v>3.7568431802581514E-3</v>
      </c>
      <c r="G1679" s="1" t="str">
        <f t="shared" ca="1" si="107"/>
        <v>=E1679/E1678-1</v>
      </c>
    </row>
    <row r="1680" spans="1:7">
      <c r="A1680" s="14">
        <v>45607</v>
      </c>
      <c r="B1680" s="11">
        <f>VLOOKUP(A1680,[1]HD_price_daily!$A$8:$B$1768,2,0)</f>
        <v>408.29</v>
      </c>
      <c r="C1680">
        <f t="shared" si="104"/>
        <v>5.8881497905889368E-3</v>
      </c>
      <c r="D1680" s="1" t="str">
        <f t="shared" ca="1" si="105"/>
        <v>=B1680/B1679-1</v>
      </c>
      <c r="E1680" s="8">
        <f>VLOOKUP(A1680,'[1]S&amp;P500_DAILY'!$A$8:$B$1768,2,0)</f>
        <v>6001.35</v>
      </c>
      <c r="F1680" s="1">
        <f t="shared" si="106"/>
        <v>9.6905366322297404E-4</v>
      </c>
      <c r="G1680" s="1" t="str">
        <f t="shared" ca="1" si="107"/>
        <v>=E1680/E1679-1</v>
      </c>
    </row>
    <row r="1681" spans="1:7">
      <c r="A1681" s="14">
        <v>45608</v>
      </c>
      <c r="B1681" s="11">
        <f>VLOOKUP(A1681,[1]HD_price_daily!$A$8:$B$1768,2,0)</f>
        <v>403.08</v>
      </c>
      <c r="C1681">
        <f t="shared" si="104"/>
        <v>-1.276053785299669E-2</v>
      </c>
      <c r="D1681" s="1" t="str">
        <f t="shared" ca="1" si="105"/>
        <v>=B1681/B1680-1</v>
      </c>
      <c r="E1681" s="8">
        <f>VLOOKUP(A1681,'[1]S&amp;P500_DAILY'!$A$8:$B$1768,2,0)</f>
        <v>5983.99</v>
      </c>
      <c r="F1681" s="1">
        <f t="shared" si="106"/>
        <v>-2.8926824797754769E-3</v>
      </c>
      <c r="G1681" s="1" t="str">
        <f t="shared" ca="1" si="107"/>
        <v>=E1681/E1680-1</v>
      </c>
    </row>
    <row r="1682" spans="1:7">
      <c r="A1682" s="14">
        <v>45609</v>
      </c>
      <c r="B1682" s="11">
        <f>VLOOKUP(A1682,[1]HD_price_daily!$A$8:$B$1768,2,0)</f>
        <v>410.19</v>
      </c>
      <c r="C1682">
        <f t="shared" si="104"/>
        <v>1.7639178326882998E-2</v>
      </c>
      <c r="D1682" s="1" t="str">
        <f t="shared" ca="1" si="105"/>
        <v>=B1682/B1681-1</v>
      </c>
      <c r="E1682" s="8">
        <f>VLOOKUP(A1682,'[1]S&amp;P500_DAILY'!$A$8:$B$1768,2,0)</f>
        <v>5985.38</v>
      </c>
      <c r="F1682" s="1">
        <f t="shared" si="106"/>
        <v>2.3228648443596178E-4</v>
      </c>
      <c r="G1682" s="1" t="str">
        <f t="shared" ca="1" si="107"/>
        <v>=E1682/E1681-1</v>
      </c>
    </row>
    <row r="1683" spans="1:7">
      <c r="A1683" s="14">
        <v>45610</v>
      </c>
      <c r="B1683" s="11">
        <f>VLOOKUP(A1683,[1]HD_price_daily!$A$8:$B$1768,2,0)</f>
        <v>405.72</v>
      </c>
      <c r="C1683">
        <f t="shared" si="104"/>
        <v>-1.0897389014846715E-2</v>
      </c>
      <c r="D1683" s="1" t="str">
        <f t="shared" ca="1" si="105"/>
        <v>=B1683/B1682-1</v>
      </c>
      <c r="E1683" s="8">
        <f>VLOOKUP(A1683,'[1]S&amp;P500_DAILY'!$A$8:$B$1768,2,0)</f>
        <v>5949.17</v>
      </c>
      <c r="F1683" s="1">
        <f t="shared" si="106"/>
        <v>-6.0497412027306074E-3</v>
      </c>
      <c r="G1683" s="1" t="str">
        <f t="shared" ca="1" si="107"/>
        <v>=E1683/E1682-1</v>
      </c>
    </row>
    <row r="1684" spans="1:7">
      <c r="A1684" s="14">
        <v>45611</v>
      </c>
      <c r="B1684" s="11">
        <f>VLOOKUP(A1684,[1]HD_price_daily!$A$8:$B$1768,2,0)</f>
        <v>408.18</v>
      </c>
      <c r="C1684">
        <f t="shared" si="104"/>
        <v>6.0632948831707001E-3</v>
      </c>
      <c r="D1684" s="1" t="str">
        <f t="shared" ca="1" si="105"/>
        <v>=B1684/B1683-1</v>
      </c>
      <c r="E1684" s="8">
        <f>VLOOKUP(A1684,'[1]S&amp;P500_DAILY'!$A$8:$B$1768,2,0)</f>
        <v>5870.62</v>
      </c>
      <c r="F1684" s="1">
        <f t="shared" si="106"/>
        <v>-1.3203522508181798E-2</v>
      </c>
      <c r="G1684" s="1" t="str">
        <f t="shared" ca="1" si="107"/>
        <v>=E1684/E1683-1</v>
      </c>
    </row>
    <row r="1685" spans="1:7">
      <c r="A1685" s="14">
        <v>45614</v>
      </c>
      <c r="B1685" s="11">
        <f>VLOOKUP(A1685,[1]HD_price_daily!$A$8:$B$1768,2,0)</f>
        <v>410.44</v>
      </c>
      <c r="C1685">
        <f t="shared" si="104"/>
        <v>5.5367729923072595E-3</v>
      </c>
      <c r="D1685" s="1" t="str">
        <f t="shared" ca="1" si="105"/>
        <v>=B1685/B1684-1</v>
      </c>
      <c r="E1685" s="8">
        <f>VLOOKUP(A1685,'[1]S&amp;P500_DAILY'!$A$8:$B$1768,2,0)</f>
        <v>5893.62</v>
      </c>
      <c r="F1685" s="1">
        <f t="shared" si="106"/>
        <v>3.9178144727474162E-3</v>
      </c>
      <c r="G1685" s="1" t="str">
        <f t="shared" ca="1" si="107"/>
        <v>=E1685/E1684-1</v>
      </c>
    </row>
    <row r="1686" spans="1:7">
      <c r="A1686" s="14">
        <v>45615</v>
      </c>
      <c r="B1686" s="11">
        <f>VLOOKUP(A1686,[1]HD_price_daily!$A$8:$B$1768,2,0)</f>
        <v>406.8</v>
      </c>
      <c r="C1686">
        <f t="shared" si="104"/>
        <v>-8.8685313322287573E-3</v>
      </c>
      <c r="D1686" s="1" t="str">
        <f t="shared" ca="1" si="105"/>
        <v>=B1686/B1685-1</v>
      </c>
      <c r="E1686" s="8">
        <f>VLOOKUP(A1686,'[1]S&amp;P500_DAILY'!$A$8:$B$1768,2,0)</f>
        <v>5916.98</v>
      </c>
      <c r="F1686" s="1">
        <f t="shared" si="106"/>
        <v>3.9636081050355987E-3</v>
      </c>
      <c r="G1686" s="1" t="str">
        <f t="shared" ca="1" si="107"/>
        <v>=E1686/E1685-1</v>
      </c>
    </row>
    <row r="1687" spans="1:7">
      <c r="A1687" s="14">
        <v>45616</v>
      </c>
      <c r="B1687" s="11">
        <f>VLOOKUP(A1687,[1]HD_price_daily!$A$8:$B$1768,2,0)</f>
        <v>400</v>
      </c>
      <c r="C1687">
        <f t="shared" si="104"/>
        <v>-1.6715830875122961E-2</v>
      </c>
      <c r="D1687" s="1" t="str">
        <f t="shared" ca="1" si="105"/>
        <v>=B1687/B1686-1</v>
      </c>
      <c r="E1687" s="8">
        <f>VLOOKUP(A1687,'[1]S&amp;P500_DAILY'!$A$8:$B$1768,2,0)</f>
        <v>5917.11</v>
      </c>
      <c r="F1687" s="1">
        <f t="shared" si="106"/>
        <v>2.1970667468895755E-5</v>
      </c>
      <c r="G1687" s="1" t="str">
        <f t="shared" ca="1" si="107"/>
        <v>=E1687/E1686-1</v>
      </c>
    </row>
    <row r="1688" spans="1:7">
      <c r="A1688" s="14">
        <v>45617</v>
      </c>
      <c r="B1688" s="11">
        <f>VLOOKUP(A1688,[1]HD_price_daily!$A$8:$B$1768,2,0)</f>
        <v>410.45</v>
      </c>
      <c r="C1688">
        <f t="shared" si="104"/>
        <v>2.6124999999999954E-2</v>
      </c>
      <c r="D1688" s="1" t="str">
        <f t="shared" ca="1" si="105"/>
        <v>=B1688/B1687-1</v>
      </c>
      <c r="E1688" s="8">
        <f>VLOOKUP(A1688,'[1]S&amp;P500_DAILY'!$A$8:$B$1768,2,0)</f>
        <v>5948.71</v>
      </c>
      <c r="F1688" s="1">
        <f t="shared" si="106"/>
        <v>5.3404449131417842E-3</v>
      </c>
      <c r="G1688" s="1" t="str">
        <f t="shared" ca="1" si="107"/>
        <v>=E1688/E1687-1</v>
      </c>
    </row>
    <row r="1689" spans="1:7">
      <c r="A1689" s="14">
        <v>45618</v>
      </c>
      <c r="B1689" s="11">
        <f>VLOOKUP(A1689,[1]HD_price_daily!$A$8:$B$1768,2,0)</f>
        <v>420</v>
      </c>
      <c r="C1689">
        <f t="shared" si="104"/>
        <v>2.3267145815568213E-2</v>
      </c>
      <c r="D1689" s="1" t="str">
        <f t="shared" ca="1" si="105"/>
        <v>=B1689/B1688-1</v>
      </c>
      <c r="E1689" s="8">
        <f>VLOOKUP(A1689,'[1]S&amp;P500_DAILY'!$A$8:$B$1768,2,0)</f>
        <v>5969.34</v>
      </c>
      <c r="F1689" s="1">
        <f t="shared" si="106"/>
        <v>3.4679787718681077E-3</v>
      </c>
      <c r="G1689" s="1" t="str">
        <f t="shared" ca="1" si="107"/>
        <v>=E1689/E1688-1</v>
      </c>
    </row>
    <row r="1690" spans="1:7">
      <c r="A1690" s="14">
        <v>45621</v>
      </c>
      <c r="B1690" s="11">
        <f>VLOOKUP(A1690,[1]HD_price_daily!$A$8:$B$1768,2,0)</f>
        <v>428.67</v>
      </c>
      <c r="C1690">
        <f t="shared" si="104"/>
        <v>2.0642857142857185E-2</v>
      </c>
      <c r="D1690" s="1" t="str">
        <f t="shared" ca="1" si="105"/>
        <v>=B1690/B1689-1</v>
      </c>
      <c r="E1690" s="8">
        <f>VLOOKUP(A1690,'[1]S&amp;P500_DAILY'!$A$8:$B$1768,2,0)</f>
        <v>5987.37</v>
      </c>
      <c r="F1690" s="1">
        <f t="shared" si="106"/>
        <v>3.0204344198856425E-3</v>
      </c>
      <c r="G1690" s="1" t="str">
        <f t="shared" ca="1" si="107"/>
        <v>=E1690/E1689-1</v>
      </c>
    </row>
    <row r="1691" spans="1:7">
      <c r="A1691" s="14">
        <v>45622</v>
      </c>
      <c r="B1691" s="11">
        <f>VLOOKUP(A1691,[1]HD_price_daily!$A$8:$B$1768,2,0)</f>
        <v>429.52</v>
      </c>
      <c r="C1691">
        <f t="shared" si="104"/>
        <v>1.9828772715608789E-3</v>
      </c>
      <c r="D1691" s="1" t="str">
        <f t="shared" ca="1" si="105"/>
        <v>=B1691/B1690-1</v>
      </c>
      <c r="E1691" s="8">
        <f>VLOOKUP(A1691,'[1]S&amp;P500_DAILY'!$A$8:$B$1768,2,0)</f>
        <v>6021.63</v>
      </c>
      <c r="F1691" s="1">
        <f t="shared" si="106"/>
        <v>5.722044904524104E-3</v>
      </c>
      <c r="G1691" s="1" t="str">
        <f t="shared" ca="1" si="107"/>
        <v>=E1691/E1690-1</v>
      </c>
    </row>
    <row r="1692" spans="1:7">
      <c r="A1692" s="14">
        <v>45623</v>
      </c>
      <c r="B1692" s="11">
        <f>VLOOKUP(A1692,[1]HD_price_daily!$A$8:$B$1768,2,0)</f>
        <v>427.19</v>
      </c>
      <c r="C1692">
        <f t="shared" si="104"/>
        <v>-5.4246600856769911E-3</v>
      </c>
      <c r="D1692" s="1" t="str">
        <f t="shared" ca="1" si="105"/>
        <v>=B1692/B1691-1</v>
      </c>
      <c r="E1692" s="8">
        <f>VLOOKUP(A1692,'[1]S&amp;P500_DAILY'!$A$8:$B$1768,2,0)</f>
        <v>5998.74</v>
      </c>
      <c r="F1692" s="1">
        <f t="shared" si="106"/>
        <v>-3.8012963267421984E-3</v>
      </c>
      <c r="G1692" s="1" t="str">
        <f t="shared" ca="1" si="107"/>
        <v>=E1692/E1691-1</v>
      </c>
    </row>
    <row r="1693" spans="1:7">
      <c r="A1693" s="14">
        <v>45625</v>
      </c>
      <c r="B1693" s="11">
        <f>VLOOKUP(A1693,[1]HD_price_daily!$A$8:$B$1768,2,0)</f>
        <v>429.13</v>
      </c>
      <c r="C1693">
        <f t="shared" si="104"/>
        <v>4.5413048058240424E-3</v>
      </c>
      <c r="D1693" s="1" t="str">
        <f t="shared" ca="1" si="105"/>
        <v>=B1693/B1692-1</v>
      </c>
      <c r="E1693" s="8">
        <f>VLOOKUP(A1693,'[1]S&amp;P500_DAILY'!$A$8:$B$1768,2,0)</f>
        <v>6032.38</v>
      </c>
      <c r="F1693" s="1">
        <f t="shared" si="106"/>
        <v>5.6078443139726541E-3</v>
      </c>
      <c r="G1693" s="1" t="str">
        <f t="shared" ca="1" si="107"/>
        <v>=E1693/E1692-1</v>
      </c>
    </row>
    <row r="1694" spans="1:7">
      <c r="A1694" s="14">
        <v>45628</v>
      </c>
      <c r="B1694" s="11">
        <f>VLOOKUP(A1694,[1]HD_price_daily!$A$8:$B$1768,2,0)</f>
        <v>426.96</v>
      </c>
      <c r="C1694">
        <f t="shared" si="104"/>
        <v>-5.0567427119987407E-3</v>
      </c>
      <c r="D1694" s="1" t="str">
        <f t="shared" ca="1" si="105"/>
        <v>=B1694/B1693-1</v>
      </c>
      <c r="E1694" s="8">
        <f>VLOOKUP(A1694,'[1]S&amp;P500_DAILY'!$A$8:$B$1768,2,0)</f>
        <v>6047.15</v>
      </c>
      <c r="F1694" s="1">
        <f t="shared" si="106"/>
        <v>2.4484531809998433E-3</v>
      </c>
      <c r="G1694" s="1" t="str">
        <f t="shared" ca="1" si="107"/>
        <v>=E1694/E1693-1</v>
      </c>
    </row>
    <row r="1695" spans="1:7">
      <c r="A1695" s="14">
        <v>45629</v>
      </c>
      <c r="B1695" s="11">
        <f>VLOOKUP(A1695,[1]HD_price_daily!$A$8:$B$1768,2,0)</f>
        <v>429.35</v>
      </c>
      <c r="C1695">
        <f t="shared" si="104"/>
        <v>5.5977140715759433E-3</v>
      </c>
      <c r="D1695" s="1" t="str">
        <f t="shared" ca="1" si="105"/>
        <v>=B1695/B1694-1</v>
      </c>
      <c r="E1695" s="8">
        <f>VLOOKUP(A1695,'[1]S&amp;P500_DAILY'!$A$8:$B$1768,2,0)</f>
        <v>6049.88</v>
      </c>
      <c r="F1695" s="1">
        <f t="shared" si="106"/>
        <v>4.5145233705135013E-4</v>
      </c>
      <c r="G1695" s="1" t="str">
        <f t="shared" ca="1" si="107"/>
        <v>=E1695/E1694-1</v>
      </c>
    </row>
    <row r="1696" spans="1:7">
      <c r="A1696" s="14">
        <v>45630</v>
      </c>
      <c r="B1696" s="11">
        <f>VLOOKUP(A1696,[1]HD_price_daily!$A$8:$B$1768,2,0)</f>
        <v>427.92</v>
      </c>
      <c r="C1696">
        <f t="shared" si="104"/>
        <v>-3.3306160475137236E-3</v>
      </c>
      <c r="D1696" s="1" t="str">
        <f t="shared" ca="1" si="105"/>
        <v>=B1696/B1695-1</v>
      </c>
      <c r="E1696" s="8">
        <f>VLOOKUP(A1696,'[1]S&amp;P500_DAILY'!$A$8:$B$1768,2,0)</f>
        <v>6086.49</v>
      </c>
      <c r="F1696" s="1">
        <f t="shared" si="106"/>
        <v>6.0513596963907013E-3</v>
      </c>
      <c r="G1696" s="1" t="str">
        <f t="shared" ca="1" si="107"/>
        <v>=E1696/E1695-1</v>
      </c>
    </row>
    <row r="1697" spans="1:7">
      <c r="A1697" s="14">
        <v>45631</v>
      </c>
      <c r="B1697" s="11">
        <f>VLOOKUP(A1697,[1]HD_price_daily!$A$8:$B$1768,2,0)</f>
        <v>426.54</v>
      </c>
      <c r="C1697">
        <f t="shared" si="104"/>
        <v>-3.2249018508132554E-3</v>
      </c>
      <c r="D1697" s="1" t="str">
        <f t="shared" ca="1" si="105"/>
        <v>=B1697/B1696-1</v>
      </c>
      <c r="E1697" s="8">
        <f>VLOOKUP(A1697,'[1]S&amp;P500_DAILY'!$A$8:$B$1768,2,0)</f>
        <v>6075.11</v>
      </c>
      <c r="F1697" s="1">
        <f t="shared" si="106"/>
        <v>-1.8697147288503357E-3</v>
      </c>
      <c r="G1697" s="1" t="str">
        <f t="shared" ca="1" si="107"/>
        <v>=E1697/E1696-1</v>
      </c>
    </row>
    <row r="1698" spans="1:7">
      <c r="A1698" s="14">
        <v>45632</v>
      </c>
      <c r="B1698" s="11">
        <f>VLOOKUP(A1698,[1]HD_price_daily!$A$8:$B$1768,2,0)</f>
        <v>431.37</v>
      </c>
      <c r="C1698">
        <f t="shared" si="104"/>
        <v>1.1323674215782731E-2</v>
      </c>
      <c r="D1698" s="1" t="str">
        <f t="shared" ca="1" si="105"/>
        <v>=B1698/B1697-1</v>
      </c>
      <c r="E1698" s="8">
        <f>VLOOKUP(A1698,'[1]S&amp;P500_DAILY'!$A$8:$B$1768,2,0)</f>
        <v>6090.27</v>
      </c>
      <c r="F1698" s="1">
        <f t="shared" si="106"/>
        <v>2.4954280663231909E-3</v>
      </c>
      <c r="G1698" s="1" t="str">
        <f t="shared" ca="1" si="107"/>
        <v>=E1698/E1697-1</v>
      </c>
    </row>
    <row r="1699" spans="1:7">
      <c r="A1699" s="14">
        <v>45635</v>
      </c>
      <c r="B1699" s="11">
        <f>VLOOKUP(A1699,[1]HD_price_daily!$A$8:$B$1768,2,0)</f>
        <v>429.18</v>
      </c>
      <c r="C1699">
        <f t="shared" si="104"/>
        <v>-5.0768481813756594E-3</v>
      </c>
      <c r="D1699" s="1" t="str">
        <f t="shared" ca="1" si="105"/>
        <v>=B1699/B1698-1</v>
      </c>
      <c r="E1699" s="8">
        <f>VLOOKUP(A1699,'[1]S&amp;P500_DAILY'!$A$8:$B$1768,2,0)</f>
        <v>6052.85</v>
      </c>
      <c r="F1699" s="1">
        <f t="shared" si="106"/>
        <v>-6.1442267748391677E-3</v>
      </c>
      <c r="G1699" s="1" t="str">
        <f t="shared" ca="1" si="107"/>
        <v>=E1699/E1698-1</v>
      </c>
    </row>
    <row r="1700" spans="1:7">
      <c r="A1700" s="14">
        <v>45636</v>
      </c>
      <c r="B1700" s="11">
        <f>VLOOKUP(A1700,[1]HD_price_daily!$A$8:$B$1768,2,0)</f>
        <v>422.59</v>
      </c>
      <c r="C1700">
        <f t="shared" si="104"/>
        <v>-1.5354862761545296E-2</v>
      </c>
      <c r="D1700" s="1" t="str">
        <f t="shared" ca="1" si="105"/>
        <v>=B1700/B1699-1</v>
      </c>
      <c r="E1700" s="8">
        <f>VLOOKUP(A1700,'[1]S&amp;P500_DAILY'!$A$8:$B$1768,2,0)</f>
        <v>6034.91</v>
      </c>
      <c r="F1700" s="1">
        <f t="shared" si="106"/>
        <v>-2.9638930421207466E-3</v>
      </c>
      <c r="G1700" s="1" t="str">
        <f t="shared" ca="1" si="107"/>
        <v>=E1700/E1699-1</v>
      </c>
    </row>
    <row r="1701" spans="1:7">
      <c r="A1701" s="14">
        <v>45637</v>
      </c>
      <c r="B1701" s="11">
        <f>VLOOKUP(A1701,[1]HD_price_daily!$A$8:$B$1768,2,0)</f>
        <v>421.38</v>
      </c>
      <c r="C1701">
        <f t="shared" si="104"/>
        <v>-2.8632953926973626E-3</v>
      </c>
      <c r="D1701" s="1" t="str">
        <f t="shared" ca="1" si="105"/>
        <v>=B1701/B1700-1</v>
      </c>
      <c r="E1701" s="8">
        <f>VLOOKUP(A1701,'[1]S&amp;P500_DAILY'!$A$8:$B$1768,2,0)</f>
        <v>6084.19</v>
      </c>
      <c r="F1701" s="1">
        <f t="shared" si="106"/>
        <v>8.1658218598121834E-3</v>
      </c>
      <c r="G1701" s="1" t="str">
        <f t="shared" ca="1" si="107"/>
        <v>=E1701/E1700-1</v>
      </c>
    </row>
    <row r="1702" spans="1:7">
      <c r="A1702" s="14">
        <v>45638</v>
      </c>
      <c r="B1702" s="11">
        <f>VLOOKUP(A1702,[1]HD_price_daily!$A$8:$B$1768,2,0)</f>
        <v>414.42</v>
      </c>
      <c r="C1702">
        <f t="shared" si="104"/>
        <v>-1.6517157909725189E-2</v>
      </c>
      <c r="D1702" s="1" t="str">
        <f t="shared" ca="1" si="105"/>
        <v>=B1702/B1701-1</v>
      </c>
      <c r="E1702" s="8">
        <f>VLOOKUP(A1702,'[1]S&amp;P500_DAILY'!$A$8:$B$1768,2,0)</f>
        <v>6051.25</v>
      </c>
      <c r="F1702" s="1">
        <f t="shared" si="106"/>
        <v>-5.4140321061636465E-3</v>
      </c>
      <c r="G1702" s="1" t="str">
        <f t="shared" ca="1" si="107"/>
        <v>=E1702/E1701-1</v>
      </c>
    </row>
    <row r="1703" spans="1:7">
      <c r="A1703" s="14">
        <v>45639</v>
      </c>
      <c r="B1703" s="11">
        <f>VLOOKUP(A1703,[1]HD_price_daily!$A$8:$B$1768,2,0)</f>
        <v>416.98</v>
      </c>
      <c r="C1703">
        <f t="shared" si="104"/>
        <v>6.1773080449785134E-3</v>
      </c>
      <c r="D1703" s="1" t="str">
        <f t="shared" ca="1" si="105"/>
        <v>=B1703/B1702-1</v>
      </c>
      <c r="E1703" s="8">
        <f>VLOOKUP(A1703,'[1]S&amp;P500_DAILY'!$A$8:$B$1768,2,0)</f>
        <v>6051.09</v>
      </c>
      <c r="F1703" s="1">
        <f t="shared" si="106"/>
        <v>-2.6440818012729572E-5</v>
      </c>
      <c r="G1703" s="1" t="str">
        <f t="shared" ca="1" si="107"/>
        <v>=E1703/E1702-1</v>
      </c>
    </row>
    <row r="1704" spans="1:7">
      <c r="A1704" s="14">
        <v>45642</v>
      </c>
      <c r="B1704" s="11">
        <f>VLOOKUP(A1704,[1]HD_price_daily!$A$8:$B$1768,2,0)</f>
        <v>410.71</v>
      </c>
      <c r="C1704">
        <f t="shared" si="104"/>
        <v>-1.503669240730976E-2</v>
      </c>
      <c r="D1704" s="1" t="str">
        <f t="shared" ca="1" si="105"/>
        <v>=B1704/B1703-1</v>
      </c>
      <c r="E1704" s="8">
        <f>VLOOKUP(A1704,'[1]S&amp;P500_DAILY'!$A$8:$B$1768,2,0)</f>
        <v>6074.08</v>
      </c>
      <c r="F1704" s="1">
        <f t="shared" si="106"/>
        <v>3.7993154952247199E-3</v>
      </c>
      <c r="G1704" s="1" t="str">
        <f t="shared" ca="1" si="107"/>
        <v>=E1704/E1703-1</v>
      </c>
    </row>
    <row r="1705" spans="1:7">
      <c r="A1705" s="14">
        <v>45643</v>
      </c>
      <c r="B1705" s="11">
        <f>VLOOKUP(A1705,[1]HD_price_daily!$A$8:$B$1768,2,0)</f>
        <v>408.47</v>
      </c>
      <c r="C1705">
        <f t="shared" si="104"/>
        <v>-5.4539699544690068E-3</v>
      </c>
      <c r="D1705" s="1" t="str">
        <f t="shared" ca="1" si="105"/>
        <v>=B1705/B1704-1</v>
      </c>
      <c r="E1705" s="8">
        <f>VLOOKUP(A1705,'[1]S&amp;P500_DAILY'!$A$8:$B$1768,2,0)</f>
        <v>6050.61</v>
      </c>
      <c r="F1705" s="1">
        <f t="shared" si="106"/>
        <v>-3.8639596449174807E-3</v>
      </c>
      <c r="G1705" s="1" t="str">
        <f t="shared" ca="1" si="107"/>
        <v>=E1705/E1704-1</v>
      </c>
    </row>
    <row r="1706" spans="1:7">
      <c r="A1706" s="14">
        <v>45644</v>
      </c>
      <c r="B1706" s="11">
        <f>VLOOKUP(A1706,[1]HD_price_daily!$A$8:$B$1768,2,0)</f>
        <v>393.82</v>
      </c>
      <c r="C1706">
        <f t="shared" si="104"/>
        <v>-3.5865547041398438E-2</v>
      </c>
      <c r="D1706" s="1" t="str">
        <f t="shared" ca="1" si="105"/>
        <v>=B1706/B1705-1</v>
      </c>
      <c r="E1706" s="8">
        <f>VLOOKUP(A1706,'[1]S&amp;P500_DAILY'!$A$8:$B$1768,2,0)</f>
        <v>5872.16</v>
      </c>
      <c r="F1706" s="1">
        <f t="shared" si="106"/>
        <v>-2.9492894104891865E-2</v>
      </c>
      <c r="G1706" s="1" t="str">
        <f t="shared" ca="1" si="107"/>
        <v>=E1706/E1705-1</v>
      </c>
    </row>
    <row r="1707" spans="1:7">
      <c r="A1707" s="14">
        <v>45645</v>
      </c>
      <c r="B1707" s="11">
        <f>VLOOKUP(A1707,[1]HD_price_daily!$A$8:$B$1768,2,0)</f>
        <v>385.02</v>
      </c>
      <c r="C1707">
        <f t="shared" si="104"/>
        <v>-2.2345233863186209E-2</v>
      </c>
      <c r="D1707" s="1" t="str">
        <f t="shared" ca="1" si="105"/>
        <v>=B1707/B1706-1</v>
      </c>
      <c r="E1707" s="8">
        <f>VLOOKUP(A1707,'[1]S&amp;P500_DAILY'!$A$8:$B$1768,2,0)</f>
        <v>5867.08</v>
      </c>
      <c r="F1707" s="1">
        <f t="shared" si="106"/>
        <v>-8.6509904362275236E-4</v>
      </c>
      <c r="G1707" s="1" t="str">
        <f t="shared" ca="1" si="107"/>
        <v>=E1707/E1706-1</v>
      </c>
    </row>
    <row r="1708" spans="1:7">
      <c r="A1708" s="14">
        <v>45646</v>
      </c>
      <c r="B1708" s="11">
        <f>VLOOKUP(A1708,[1]HD_price_daily!$A$8:$B$1768,2,0)</f>
        <v>392.6</v>
      </c>
      <c r="C1708">
        <f t="shared" si="104"/>
        <v>1.9687288972001671E-2</v>
      </c>
      <c r="D1708" s="1" t="str">
        <f t="shared" ca="1" si="105"/>
        <v>=B1708/B1707-1</v>
      </c>
      <c r="E1708" s="8">
        <f>VLOOKUP(A1708,'[1]S&amp;P500_DAILY'!$A$8:$B$1768,2,0)</f>
        <v>5930.85</v>
      </c>
      <c r="F1708" s="1">
        <f t="shared" si="106"/>
        <v>1.0869120584686254E-2</v>
      </c>
      <c r="G1708" s="1" t="str">
        <f t="shared" ca="1" si="107"/>
        <v>=E1708/E1707-1</v>
      </c>
    </row>
    <row r="1709" spans="1:7">
      <c r="A1709" s="14">
        <v>45649</v>
      </c>
      <c r="B1709" s="11">
        <f>VLOOKUP(A1709,[1]HD_price_daily!$A$8:$B$1768,2,0)</f>
        <v>392.45</v>
      </c>
      <c r="C1709">
        <f t="shared" si="104"/>
        <v>-3.8206826286302231E-4</v>
      </c>
      <c r="D1709" s="1" t="str">
        <f t="shared" ca="1" si="105"/>
        <v>=B1709/B1708-1</v>
      </c>
      <c r="E1709" s="8">
        <f>VLOOKUP(A1709,'[1]S&amp;P500_DAILY'!$A$8:$B$1768,2,0)</f>
        <v>5974.07</v>
      </c>
      <c r="F1709" s="1">
        <f t="shared" si="106"/>
        <v>7.2873196927927264E-3</v>
      </c>
      <c r="G1709" s="1" t="str">
        <f t="shared" ca="1" si="107"/>
        <v>=E1709/E1708-1</v>
      </c>
    </row>
    <row r="1710" spans="1:7">
      <c r="A1710" s="14">
        <v>45650</v>
      </c>
      <c r="B1710" s="11">
        <f>VLOOKUP(A1710,[1]HD_price_daily!$A$8:$B$1768,2,0)</f>
        <v>396.14</v>
      </c>
      <c r="C1710">
        <f t="shared" si="104"/>
        <v>9.4024716524399032E-3</v>
      </c>
      <c r="D1710" s="1" t="str">
        <f t="shared" ca="1" si="105"/>
        <v>=B1710/B1709-1</v>
      </c>
      <c r="E1710" s="8">
        <f>VLOOKUP(A1710,'[1]S&amp;P500_DAILY'!$A$8:$B$1768,2,0)</f>
        <v>6040.04</v>
      </c>
      <c r="F1710" s="1">
        <f t="shared" si="106"/>
        <v>1.1042722967758989E-2</v>
      </c>
      <c r="G1710" s="1" t="str">
        <f t="shared" ca="1" si="107"/>
        <v>=E1710/E1709-1</v>
      </c>
    </row>
    <row r="1711" spans="1:7">
      <c r="A1711" s="14">
        <v>45652</v>
      </c>
      <c r="B1711" s="11">
        <f>VLOOKUP(A1711,[1]HD_price_daily!$A$8:$B$1768,2,0)</f>
        <v>395.14</v>
      </c>
      <c r="C1711">
        <f t="shared" si="104"/>
        <v>-2.5243600747210104E-3</v>
      </c>
      <c r="D1711" s="1" t="str">
        <f t="shared" ca="1" si="105"/>
        <v>=B1711/B1710-1</v>
      </c>
      <c r="E1711" s="8">
        <f>VLOOKUP(A1711,'[1]S&amp;P500_DAILY'!$A$8:$B$1768,2,0)</f>
        <v>6037.59</v>
      </c>
      <c r="F1711" s="1">
        <f t="shared" si="106"/>
        <v>-4.0562645280495246E-4</v>
      </c>
      <c r="G1711" s="1" t="str">
        <f t="shared" ca="1" si="107"/>
        <v>=E1711/E1710-1</v>
      </c>
    </row>
    <row r="1712" spans="1:7">
      <c r="A1712" s="14">
        <v>45653</v>
      </c>
      <c r="B1712" s="11">
        <f>VLOOKUP(A1712,[1]HD_price_daily!$A$8:$B$1768,2,0)</f>
        <v>392.86</v>
      </c>
      <c r="C1712">
        <f t="shared" si="104"/>
        <v>-5.7701067975907128E-3</v>
      </c>
      <c r="D1712" s="1" t="str">
        <f t="shared" ca="1" si="105"/>
        <v>=B1712/B1711-1</v>
      </c>
      <c r="E1712" s="8">
        <f>VLOOKUP(A1712,'[1]S&amp;P500_DAILY'!$A$8:$B$1768,2,0)</f>
        <v>5970.84</v>
      </c>
      <c r="F1712" s="1">
        <f t="shared" si="106"/>
        <v>-1.1055735815118317E-2</v>
      </c>
      <c r="G1712" s="1" t="str">
        <f t="shared" ca="1" si="107"/>
        <v>=E1712/E1711-1</v>
      </c>
    </row>
    <row r="1713" spans="1:7">
      <c r="A1713" s="14">
        <v>45656</v>
      </c>
      <c r="B1713" s="11">
        <f>VLOOKUP(A1713,[1]HD_price_daily!$A$8:$B$1768,2,0)</f>
        <v>389.43</v>
      </c>
      <c r="C1713">
        <f t="shared" si="104"/>
        <v>-8.7308455938502894E-3</v>
      </c>
      <c r="D1713" s="1" t="str">
        <f t="shared" ca="1" si="105"/>
        <v>=B1713/B1712-1</v>
      </c>
      <c r="E1713" s="8">
        <f>VLOOKUP(A1713,'[1]S&amp;P500_DAILY'!$A$8:$B$1768,2,0)</f>
        <v>5906.94</v>
      </c>
      <c r="F1713" s="1">
        <f t="shared" si="106"/>
        <v>-1.0702011777237508E-2</v>
      </c>
      <c r="G1713" s="1" t="str">
        <f t="shared" ca="1" si="107"/>
        <v>=E1713/E1712-1</v>
      </c>
    </row>
    <row r="1714" spans="1:7">
      <c r="A1714" s="14">
        <v>45657</v>
      </c>
      <c r="B1714" s="11">
        <f>VLOOKUP(A1714,[1]HD_price_daily!$A$8:$B$1768,2,0)</f>
        <v>388.99</v>
      </c>
      <c r="C1714">
        <f t="shared" si="104"/>
        <v>-1.129856456872913E-3</v>
      </c>
      <c r="D1714" s="1" t="str">
        <f t="shared" ca="1" si="105"/>
        <v>=B1714/B1713-1</v>
      </c>
      <c r="E1714" s="8">
        <f>VLOOKUP(A1714,'[1]S&amp;P500_DAILY'!$A$8:$B$1768,2,0)</f>
        <v>5881.63</v>
      </c>
      <c r="F1714" s="1">
        <f t="shared" si="106"/>
        <v>-4.2847904329482711E-3</v>
      </c>
      <c r="G1714" s="1" t="str">
        <f t="shared" ca="1" si="107"/>
        <v>=E1714/E1713-1</v>
      </c>
    </row>
    <row r="1715" spans="1:7">
      <c r="A1715" s="14">
        <v>45659</v>
      </c>
      <c r="B1715" s="11">
        <f>VLOOKUP(A1715,[1]HD_price_daily!$A$8:$B$1768,2,0)</f>
        <v>388.46</v>
      </c>
      <c r="C1715">
        <f t="shared" si="104"/>
        <v>-1.3625028921052662E-3</v>
      </c>
      <c r="D1715" s="1" t="str">
        <f t="shared" ca="1" si="105"/>
        <v>=B1715/B1714-1</v>
      </c>
      <c r="E1715" s="8">
        <f>VLOOKUP(A1715,'[1]S&amp;P500_DAILY'!$A$8:$B$1768,2,0)</f>
        <v>5868.55</v>
      </c>
      <c r="F1715" s="1">
        <f t="shared" si="106"/>
        <v>-2.2238733140302891E-3</v>
      </c>
      <c r="G1715" s="1" t="str">
        <f t="shared" ca="1" si="107"/>
        <v>=E1715/E1714-1</v>
      </c>
    </row>
    <row r="1716" spans="1:7">
      <c r="A1716" s="14">
        <v>45660</v>
      </c>
      <c r="B1716" s="11">
        <f>VLOOKUP(A1716,[1]HD_price_daily!$A$8:$B$1768,2,0)</f>
        <v>389.18</v>
      </c>
      <c r="C1716">
        <f t="shared" si="104"/>
        <v>1.8534726870205187E-3</v>
      </c>
      <c r="D1716" s="1" t="str">
        <f t="shared" ca="1" si="105"/>
        <v>=B1716/B1715-1</v>
      </c>
      <c r="E1716" s="8">
        <f>VLOOKUP(A1716,'[1]S&amp;P500_DAILY'!$A$8:$B$1768,2,0)</f>
        <v>5942.47</v>
      </c>
      <c r="F1716" s="1">
        <f t="shared" si="106"/>
        <v>1.2595956411720177E-2</v>
      </c>
      <c r="G1716" s="1" t="str">
        <f t="shared" ca="1" si="107"/>
        <v>=E1716/E1715-1</v>
      </c>
    </row>
    <row r="1717" spans="1:7">
      <c r="A1717" s="14">
        <v>45663</v>
      </c>
      <c r="B1717" s="11">
        <f>VLOOKUP(A1717,[1]HD_price_daily!$A$8:$B$1768,2,0)</f>
        <v>389.37</v>
      </c>
      <c r="C1717">
        <f t="shared" si="104"/>
        <v>4.8820597152987588E-4</v>
      </c>
      <c r="D1717" s="1" t="str">
        <f t="shared" ca="1" si="105"/>
        <v>=B1717/B1716-1</v>
      </c>
      <c r="E1717" s="8">
        <f>VLOOKUP(A1717,'[1]S&amp;P500_DAILY'!$A$8:$B$1768,2,0)</f>
        <v>5975.38</v>
      </c>
      <c r="F1717" s="1">
        <f t="shared" si="106"/>
        <v>5.5381011599553442E-3</v>
      </c>
      <c r="G1717" s="1" t="str">
        <f t="shared" ca="1" si="107"/>
        <v>=E1717/E1716-1</v>
      </c>
    </row>
    <row r="1718" spans="1:7">
      <c r="A1718" s="14">
        <v>45664</v>
      </c>
      <c r="B1718" s="11">
        <f>VLOOKUP(A1718,[1]HD_price_daily!$A$8:$B$1768,2,0)</f>
        <v>384.23</v>
      </c>
      <c r="C1718">
        <f t="shared" si="104"/>
        <v>-1.3200811567403714E-2</v>
      </c>
      <c r="D1718" s="1" t="str">
        <f t="shared" ca="1" si="105"/>
        <v>=B1718/B1717-1</v>
      </c>
      <c r="E1718" s="8">
        <f>VLOOKUP(A1718,'[1]S&amp;P500_DAILY'!$A$8:$B$1768,2,0)</f>
        <v>5909.03</v>
      </c>
      <c r="F1718" s="1">
        <f t="shared" si="106"/>
        <v>-1.1103896321238205E-2</v>
      </c>
      <c r="G1718" s="1" t="str">
        <f t="shared" ca="1" si="107"/>
        <v>=E1718/E1717-1</v>
      </c>
    </row>
    <row r="1719" spans="1:7">
      <c r="A1719" s="14">
        <v>45665</v>
      </c>
      <c r="B1719" s="11">
        <f>VLOOKUP(A1719,[1]HD_price_daily!$A$8:$B$1768,2,0)</f>
        <v>387.2</v>
      </c>
      <c r="C1719">
        <f t="shared" si="104"/>
        <v>7.7297452046949378E-3</v>
      </c>
      <c r="D1719" s="1" t="str">
        <f t="shared" ca="1" si="105"/>
        <v>=B1719/B1718-1</v>
      </c>
      <c r="E1719" s="8">
        <f>VLOOKUP(A1719,'[1]S&amp;P500_DAILY'!$A$8:$B$1768,2,0)</f>
        <v>5918.25</v>
      </c>
      <c r="F1719" s="1">
        <f t="shared" si="106"/>
        <v>1.5603237756451893E-3</v>
      </c>
      <c r="G1719" s="1" t="str">
        <f t="shared" ca="1" si="107"/>
        <v>=E1719/E1718-1</v>
      </c>
    </row>
    <row r="1720" spans="1:7">
      <c r="A1720" s="14">
        <v>45667</v>
      </c>
      <c r="B1720" s="11">
        <f>VLOOKUP(A1720,[1]HD_price_daily!$A$8:$B$1768,2,0)</f>
        <v>389.89</v>
      </c>
      <c r="C1720">
        <f t="shared" si="104"/>
        <v>6.9473140495868169E-3</v>
      </c>
      <c r="D1720" s="1" t="str">
        <f t="shared" ca="1" si="105"/>
        <v>=B1720/B1719-1</v>
      </c>
      <c r="E1720" s="8">
        <f>VLOOKUP(A1720,'[1]S&amp;P500_DAILY'!$A$8:$B$1768,2,0)</f>
        <v>5827.04</v>
      </c>
      <c r="F1720" s="1">
        <f t="shared" si="106"/>
        <v>-1.5411650403413191E-2</v>
      </c>
      <c r="G1720" s="1" t="str">
        <f t="shared" ca="1" si="107"/>
        <v>=E1720/E1719-1</v>
      </c>
    </row>
    <row r="1721" spans="1:7">
      <c r="A1721" s="14">
        <v>45670</v>
      </c>
      <c r="B1721" s="11">
        <f>VLOOKUP(A1721,[1]HD_price_daily!$A$8:$B$1768,2,0)</f>
        <v>389.18</v>
      </c>
      <c r="C1721">
        <f t="shared" si="104"/>
        <v>-1.8210264433557999E-3</v>
      </c>
      <c r="D1721" s="1" t="str">
        <f t="shared" ca="1" si="105"/>
        <v>=B1721/B1720-1</v>
      </c>
      <c r="E1721" s="8">
        <f>VLOOKUP(A1721,'[1]S&amp;P500_DAILY'!$A$8:$B$1768,2,0)</f>
        <v>5836.22</v>
      </c>
      <c r="F1721" s="1">
        <f t="shared" si="106"/>
        <v>1.5754139322881056E-3</v>
      </c>
      <c r="G1721" s="1" t="str">
        <f t="shared" ca="1" si="107"/>
        <v>=E1721/E1720-1</v>
      </c>
    </row>
    <row r="1722" spans="1:7">
      <c r="A1722" s="14">
        <v>45671</v>
      </c>
      <c r="B1722" s="11">
        <f>VLOOKUP(A1722,[1]HD_price_daily!$A$8:$B$1768,2,0)</f>
        <v>392.78</v>
      </c>
      <c r="C1722">
        <f t="shared" si="104"/>
        <v>9.2502184079346073E-3</v>
      </c>
      <c r="D1722" s="1" t="str">
        <f t="shared" ca="1" si="105"/>
        <v>=B1722/B1721-1</v>
      </c>
      <c r="E1722" s="8">
        <f>VLOOKUP(A1722,'[1]S&amp;P500_DAILY'!$A$8:$B$1768,2,0)</f>
        <v>5842.91</v>
      </c>
      <c r="F1722" s="1">
        <f t="shared" si="106"/>
        <v>1.146289893115604E-3</v>
      </c>
      <c r="G1722" s="1" t="str">
        <f t="shared" ca="1" si="107"/>
        <v>=E1722/E1721-1</v>
      </c>
    </row>
    <row r="1723" spans="1:7">
      <c r="A1723" s="14">
        <v>45672</v>
      </c>
      <c r="B1723" s="11">
        <f>VLOOKUP(A1723,[1]HD_price_daily!$A$8:$B$1768,2,0)</f>
        <v>406.09</v>
      </c>
      <c r="C1723">
        <f t="shared" si="104"/>
        <v>3.3886654106624503E-2</v>
      </c>
      <c r="D1723" s="1" t="str">
        <f t="shared" ca="1" si="105"/>
        <v>=B1723/B1722-1</v>
      </c>
      <c r="E1723" s="8">
        <f>VLOOKUP(A1723,'[1]S&amp;P500_DAILY'!$A$8:$B$1768,2,0)</f>
        <v>5949.91</v>
      </c>
      <c r="F1723" s="1">
        <f t="shared" si="106"/>
        <v>1.8312792769356268E-2</v>
      </c>
      <c r="G1723" s="1" t="str">
        <f t="shared" ca="1" si="107"/>
        <v>=E1723/E1722-1</v>
      </c>
    </row>
    <row r="1724" spans="1:7">
      <c r="A1724" s="14">
        <v>45673</v>
      </c>
      <c r="B1724" s="11">
        <f>VLOOKUP(A1724,[1]HD_price_daily!$A$8:$B$1768,2,0)</f>
        <v>409.33</v>
      </c>
      <c r="C1724">
        <f t="shared" si="104"/>
        <v>7.9785269275283177E-3</v>
      </c>
      <c r="D1724" s="1" t="str">
        <f t="shared" ca="1" si="105"/>
        <v>=B1724/B1723-1</v>
      </c>
      <c r="E1724" s="8">
        <f>VLOOKUP(A1724,'[1]S&amp;P500_DAILY'!$A$8:$B$1768,2,0)</f>
        <v>5937.34</v>
      </c>
      <c r="F1724" s="1">
        <f t="shared" si="106"/>
        <v>-2.112636997870454E-3</v>
      </c>
      <c r="G1724" s="1" t="str">
        <f t="shared" ca="1" si="107"/>
        <v>=E1724/E1723-1</v>
      </c>
    </row>
    <row r="1725" spans="1:7">
      <c r="A1725" s="14">
        <v>45674</v>
      </c>
      <c r="B1725" s="11">
        <f>VLOOKUP(A1725,[1]HD_price_daily!$A$8:$B$1768,2,0)</f>
        <v>409.38</v>
      </c>
      <c r="C1725">
        <f t="shared" si="104"/>
        <v>1.2215083184718978E-4</v>
      </c>
      <c r="D1725" s="1" t="str">
        <f t="shared" ca="1" si="105"/>
        <v>=B1725/B1724-1</v>
      </c>
      <c r="E1725" s="8">
        <f>VLOOKUP(A1725,'[1]S&amp;P500_DAILY'!$A$8:$B$1768,2,0)</f>
        <v>5996.66</v>
      </c>
      <c r="F1725" s="1">
        <f t="shared" si="106"/>
        <v>9.9910060734267336E-3</v>
      </c>
      <c r="G1725" s="1" t="str">
        <f t="shared" ca="1" si="107"/>
        <v>=E1725/E1724-1</v>
      </c>
    </row>
    <row r="1726" spans="1:7">
      <c r="A1726" s="14">
        <v>45678</v>
      </c>
      <c r="B1726" s="11">
        <f>VLOOKUP(A1726,[1]HD_price_daily!$A$8:$B$1768,2,0)</f>
        <v>418.43</v>
      </c>
      <c r="C1726">
        <f t="shared" si="104"/>
        <v>2.21066002247301E-2</v>
      </c>
      <c r="D1726" s="1" t="str">
        <f t="shared" ca="1" si="105"/>
        <v>=B1726/B1725-1</v>
      </c>
      <c r="E1726" s="8">
        <f>VLOOKUP(A1726,'[1]S&amp;P500_DAILY'!$A$8:$B$1768,2,0)</f>
        <v>6049.24</v>
      </c>
      <c r="F1726" s="1">
        <f t="shared" si="106"/>
        <v>8.7682143059637507E-3</v>
      </c>
      <c r="G1726" s="1" t="str">
        <f t="shared" ca="1" si="107"/>
        <v>=E1726/E1725-1</v>
      </c>
    </row>
    <row r="1727" spans="1:7">
      <c r="A1727" s="14">
        <v>45679</v>
      </c>
      <c r="B1727" s="11">
        <f>VLOOKUP(A1727,[1]HD_price_daily!$A$8:$B$1768,2,0)</f>
        <v>410.1</v>
      </c>
      <c r="C1727">
        <f t="shared" si="104"/>
        <v>-1.9907750400305901E-2</v>
      </c>
      <c r="D1727" s="1" t="str">
        <f t="shared" ca="1" si="105"/>
        <v>=B1727/B1726-1</v>
      </c>
      <c r="E1727" s="8">
        <f>VLOOKUP(A1727,'[1]S&amp;P500_DAILY'!$A$8:$B$1768,2,0)</f>
        <v>6086.37</v>
      </c>
      <c r="F1727" s="1">
        <f t="shared" si="106"/>
        <v>6.1379611323075789E-3</v>
      </c>
      <c r="G1727" s="1" t="str">
        <f t="shared" ca="1" si="107"/>
        <v>=E1727/E1726-1</v>
      </c>
    </row>
    <row r="1728" spans="1:7">
      <c r="A1728" s="14">
        <v>45680</v>
      </c>
      <c r="B1728" s="11">
        <f>VLOOKUP(A1728,[1]HD_price_daily!$A$8:$B$1768,2,0)</f>
        <v>414.39</v>
      </c>
      <c r="C1728">
        <f t="shared" si="104"/>
        <v>1.046086320409656E-2</v>
      </c>
      <c r="D1728" s="1" t="str">
        <f t="shared" ca="1" si="105"/>
        <v>=B1728/B1727-1</v>
      </c>
      <c r="E1728" s="8">
        <f>VLOOKUP(A1728,'[1]S&amp;P500_DAILY'!$A$8:$B$1768,2,0)</f>
        <v>6118.71</v>
      </c>
      <c r="F1728" s="1">
        <f t="shared" si="106"/>
        <v>5.31351199483443E-3</v>
      </c>
      <c r="G1728" s="1" t="str">
        <f t="shared" ca="1" si="107"/>
        <v>=E1728/E1727-1</v>
      </c>
    </row>
    <row r="1729" spans="1:7">
      <c r="A1729" s="14">
        <v>45681</v>
      </c>
      <c r="B1729" s="11">
        <f>VLOOKUP(A1729,[1]HD_price_daily!$A$8:$B$1768,2,0)</f>
        <v>414.5</v>
      </c>
      <c r="C1729">
        <f t="shared" si="104"/>
        <v>2.6545042110082129E-4</v>
      </c>
      <c r="D1729" s="1" t="str">
        <f t="shared" ca="1" si="105"/>
        <v>=B1729/B1728-1</v>
      </c>
      <c r="E1729" s="8">
        <f>VLOOKUP(A1729,'[1]S&amp;P500_DAILY'!$A$8:$B$1768,2,0)</f>
        <v>6101.24</v>
      </c>
      <c r="F1729" s="1">
        <f t="shared" si="106"/>
        <v>-2.8551769899211044E-3</v>
      </c>
      <c r="G1729" s="1" t="str">
        <f t="shared" ca="1" si="107"/>
        <v>=E1729/E1728-1</v>
      </c>
    </row>
    <row r="1730" spans="1:7">
      <c r="A1730" s="14">
        <v>45684</v>
      </c>
      <c r="B1730" s="11">
        <f>VLOOKUP(A1730,[1]HD_price_daily!$A$8:$B$1768,2,0)</f>
        <v>424.87</v>
      </c>
      <c r="C1730">
        <f t="shared" si="104"/>
        <v>2.5018094089264142E-2</v>
      </c>
      <c r="D1730" s="1" t="str">
        <f t="shared" ca="1" si="105"/>
        <v>=B1730/B1729-1</v>
      </c>
      <c r="E1730" s="8">
        <f>VLOOKUP(A1730,'[1]S&amp;P500_DAILY'!$A$8:$B$1768,2,0)</f>
        <v>6012.28</v>
      </c>
      <c r="F1730" s="1">
        <f t="shared" si="106"/>
        <v>-1.45806426234667E-2</v>
      </c>
      <c r="G1730" s="1" t="str">
        <f t="shared" ca="1" si="107"/>
        <v>=E1730/E1729-1</v>
      </c>
    </row>
    <row r="1731" spans="1:7">
      <c r="A1731" s="14">
        <v>45685</v>
      </c>
      <c r="B1731" s="11">
        <f>VLOOKUP(A1731,[1]HD_price_daily!$A$8:$B$1768,2,0)</f>
        <v>418.83</v>
      </c>
      <c r="C1731">
        <f t="shared" si="104"/>
        <v>-1.4216113164026711E-2</v>
      </c>
      <c r="D1731" s="1" t="str">
        <f t="shared" ca="1" si="105"/>
        <v>=B1731/B1730-1</v>
      </c>
      <c r="E1731" s="8">
        <f>VLOOKUP(A1731,'[1]S&amp;P500_DAILY'!$A$8:$B$1768,2,0)</f>
        <v>6067.7</v>
      </c>
      <c r="F1731" s="1">
        <f t="shared" si="106"/>
        <v>9.2178009008230255E-3</v>
      </c>
      <c r="G1731" s="1" t="str">
        <f t="shared" ca="1" si="107"/>
        <v>=E1731/E1730-1</v>
      </c>
    </row>
    <row r="1732" spans="1:7">
      <c r="A1732" s="14">
        <v>45686</v>
      </c>
      <c r="B1732" s="11">
        <f>VLOOKUP(A1732,[1]HD_price_daily!$A$8:$B$1768,2,0)</f>
        <v>413.42</v>
      </c>
      <c r="C1732">
        <f t="shared" ref="C1732:C1762" si="108">B1732/B1731-1</f>
        <v>-1.2916935272067387E-2</v>
      </c>
      <c r="D1732" s="1" t="str">
        <f t="shared" ref="D1732:D1762" ca="1" si="109">_xlfn.FORMULATEXT(C1732)</f>
        <v>=B1732/B1731-1</v>
      </c>
      <c r="E1732" s="8">
        <f>VLOOKUP(A1732,'[1]S&amp;P500_DAILY'!$A$8:$B$1768,2,0)</f>
        <v>6039.31</v>
      </c>
      <c r="F1732" s="1">
        <f t="shared" ref="F1732:F1762" si="110">E1732/E1731-1</f>
        <v>-4.6788733787100911E-3</v>
      </c>
      <c r="G1732" s="1" t="str">
        <f t="shared" ref="G1732:G1762" ca="1" si="111">_xlfn.FORMULATEXT(F1732)</f>
        <v>=E1732/E1731-1</v>
      </c>
    </row>
    <row r="1733" spans="1:7">
      <c r="A1733" s="14">
        <v>45687</v>
      </c>
      <c r="B1733" s="11">
        <f>VLOOKUP(A1733,[1]HD_price_daily!$A$8:$B$1768,2,0)</f>
        <v>414.5</v>
      </c>
      <c r="C1733">
        <f t="shared" si="108"/>
        <v>2.6123554738521904E-3</v>
      </c>
      <c r="D1733" s="1" t="str">
        <f t="shared" ca="1" si="109"/>
        <v>=B1733/B1732-1</v>
      </c>
      <c r="E1733" s="8">
        <f>VLOOKUP(A1733,'[1]S&amp;P500_DAILY'!$A$8:$B$1768,2,0)</f>
        <v>6071.17</v>
      </c>
      <c r="F1733" s="1">
        <f t="shared" si="110"/>
        <v>5.2754370946348494E-3</v>
      </c>
      <c r="G1733" s="1" t="str">
        <f t="shared" ca="1" si="111"/>
        <v>=E1733/E1732-1</v>
      </c>
    </row>
    <row r="1734" spans="1:7">
      <c r="A1734" s="14">
        <v>45688</v>
      </c>
      <c r="B1734" s="11">
        <f>VLOOKUP(A1734,[1]HD_price_daily!$A$8:$B$1768,2,0)</f>
        <v>411.98</v>
      </c>
      <c r="C1734">
        <f t="shared" si="108"/>
        <v>-6.079613992762356E-3</v>
      </c>
      <c r="D1734" s="1" t="str">
        <f t="shared" ca="1" si="109"/>
        <v>=B1734/B1733-1</v>
      </c>
      <c r="E1734" s="8">
        <f>VLOOKUP(A1734,'[1]S&amp;P500_DAILY'!$A$8:$B$1768,2,0)</f>
        <v>6040.53</v>
      </c>
      <c r="F1734" s="1">
        <f t="shared" si="110"/>
        <v>-5.0468031697350479E-3</v>
      </c>
      <c r="G1734" s="1" t="str">
        <f t="shared" ca="1" si="111"/>
        <v>=E1734/E1733-1</v>
      </c>
    </row>
    <row r="1735" spans="1:7">
      <c r="A1735" s="14">
        <v>45691</v>
      </c>
      <c r="B1735" s="11">
        <f>VLOOKUP(A1735,[1]HD_price_daily!$A$8:$B$1768,2,0)</f>
        <v>408.76</v>
      </c>
      <c r="C1735">
        <f t="shared" si="108"/>
        <v>-7.8159133938541236E-3</v>
      </c>
      <c r="D1735" s="1" t="str">
        <f t="shared" ca="1" si="109"/>
        <v>=B1735/B1734-1</v>
      </c>
      <c r="E1735" s="8">
        <f>VLOOKUP(A1735,'[1]S&amp;P500_DAILY'!$A$8:$B$1768,2,0)</f>
        <v>5994.57</v>
      </c>
      <c r="F1735" s="1">
        <f t="shared" si="110"/>
        <v>-7.6086038807853251E-3</v>
      </c>
      <c r="G1735" s="1" t="str">
        <f t="shared" ca="1" si="111"/>
        <v>=E1735/E1734-1</v>
      </c>
    </row>
    <row r="1736" spans="1:7">
      <c r="A1736" s="14">
        <v>45692</v>
      </c>
      <c r="B1736" s="11">
        <f>VLOOKUP(A1736,[1]HD_price_daily!$A$8:$B$1768,2,0)</f>
        <v>411.49</v>
      </c>
      <c r="C1736">
        <f t="shared" si="108"/>
        <v>6.6787356884234761E-3</v>
      </c>
      <c r="D1736" s="1" t="str">
        <f t="shared" ca="1" si="109"/>
        <v>=B1736/B1735-1</v>
      </c>
      <c r="E1736" s="8">
        <f>VLOOKUP(A1736,'[1]S&amp;P500_DAILY'!$A$8:$B$1768,2,0)</f>
        <v>6037.88</v>
      </c>
      <c r="F1736" s="1">
        <f t="shared" si="110"/>
        <v>7.2248718423506553E-3</v>
      </c>
      <c r="G1736" s="1" t="str">
        <f t="shared" ca="1" si="111"/>
        <v>=E1736/E1735-1</v>
      </c>
    </row>
    <row r="1737" spans="1:7">
      <c r="A1737" s="14">
        <v>45693</v>
      </c>
      <c r="B1737" s="11">
        <f>VLOOKUP(A1737,[1]HD_price_daily!$A$8:$B$1768,2,0)</f>
        <v>413.82</v>
      </c>
      <c r="C1737">
        <f t="shared" si="108"/>
        <v>5.6623490242775354E-3</v>
      </c>
      <c r="D1737" s="1" t="str">
        <f t="shared" ca="1" si="109"/>
        <v>=B1737/B1736-1</v>
      </c>
      <c r="E1737" s="8">
        <f>VLOOKUP(A1737,'[1]S&amp;P500_DAILY'!$A$8:$B$1768,2,0)</f>
        <v>6061.48</v>
      </c>
      <c r="F1737" s="1">
        <f t="shared" si="110"/>
        <v>3.9086566808217427E-3</v>
      </c>
      <c r="G1737" s="1" t="str">
        <f t="shared" ca="1" si="111"/>
        <v>=E1737/E1736-1</v>
      </c>
    </row>
    <row r="1738" spans="1:7">
      <c r="A1738" s="14">
        <v>45694</v>
      </c>
      <c r="B1738" s="11">
        <f>VLOOKUP(A1738,[1]HD_price_daily!$A$8:$B$1768,2,0)</f>
        <v>414.16</v>
      </c>
      <c r="C1738">
        <f t="shared" si="108"/>
        <v>8.2161326180463234E-4</v>
      </c>
      <c r="D1738" s="1" t="str">
        <f t="shared" ca="1" si="109"/>
        <v>=B1738/B1737-1</v>
      </c>
      <c r="E1738" s="8">
        <f>VLOOKUP(A1738,'[1]S&amp;P500_DAILY'!$A$8:$B$1768,2,0)</f>
        <v>6083.57</v>
      </c>
      <c r="F1738" s="1">
        <f t="shared" si="110"/>
        <v>3.64432448840879E-3</v>
      </c>
      <c r="G1738" s="1" t="str">
        <f t="shared" ca="1" si="111"/>
        <v>=E1738/E1737-1</v>
      </c>
    </row>
    <row r="1739" spans="1:7">
      <c r="A1739" s="14">
        <v>45695</v>
      </c>
      <c r="B1739" s="11">
        <f>VLOOKUP(A1739,[1]HD_price_daily!$A$8:$B$1768,2,0)</f>
        <v>407.37</v>
      </c>
      <c r="C1739">
        <f t="shared" si="108"/>
        <v>-1.6394630094649476E-2</v>
      </c>
      <c r="D1739" s="1" t="str">
        <f t="shared" ca="1" si="109"/>
        <v>=B1739/B1738-1</v>
      </c>
      <c r="E1739" s="8">
        <f>VLOOKUP(A1739,'[1]S&amp;P500_DAILY'!$A$8:$B$1768,2,0)</f>
        <v>6025.99</v>
      </c>
      <c r="F1739" s="1">
        <f t="shared" si="110"/>
        <v>-9.464837258386094E-3</v>
      </c>
      <c r="G1739" s="1" t="str">
        <f t="shared" ca="1" si="111"/>
        <v>=E1739/E1738-1</v>
      </c>
    </row>
    <row r="1740" spans="1:7">
      <c r="A1740" s="14">
        <v>45698</v>
      </c>
      <c r="B1740" s="11">
        <f>VLOOKUP(A1740,[1]HD_price_daily!$A$8:$B$1768,2,0)</f>
        <v>413.99</v>
      </c>
      <c r="C1740">
        <f t="shared" si="108"/>
        <v>1.6250583008076136E-2</v>
      </c>
      <c r="D1740" s="1" t="str">
        <f t="shared" ca="1" si="109"/>
        <v>=B1740/B1739-1</v>
      </c>
      <c r="E1740" s="8">
        <f>VLOOKUP(A1740,'[1]S&amp;P500_DAILY'!$A$8:$B$1768,2,0)</f>
        <v>6066.44</v>
      </c>
      <c r="F1740" s="1">
        <f t="shared" si="110"/>
        <v>6.712589964470439E-3</v>
      </c>
      <c r="G1740" s="1" t="str">
        <f t="shared" ca="1" si="111"/>
        <v>=E1740/E1739-1</v>
      </c>
    </row>
    <row r="1741" spans="1:7">
      <c r="A1741" s="14">
        <v>45699</v>
      </c>
      <c r="B1741" s="11">
        <f>VLOOKUP(A1741,[1]HD_price_daily!$A$8:$B$1768,2,0)</f>
        <v>416.36</v>
      </c>
      <c r="C1741">
        <f t="shared" si="108"/>
        <v>5.7247759607719217E-3</v>
      </c>
      <c r="D1741" s="1" t="str">
        <f t="shared" ca="1" si="109"/>
        <v>=B1741/B1740-1</v>
      </c>
      <c r="E1741" s="8">
        <f>VLOOKUP(A1741,'[1]S&amp;P500_DAILY'!$A$8:$B$1768,2,0)</f>
        <v>6068.5</v>
      </c>
      <c r="F1741" s="1">
        <f t="shared" si="110"/>
        <v>3.3957312690802155E-4</v>
      </c>
      <c r="G1741" s="1" t="str">
        <f t="shared" ca="1" si="111"/>
        <v>=E1741/E1740-1</v>
      </c>
    </row>
    <row r="1742" spans="1:7">
      <c r="A1742" s="14">
        <v>45700</v>
      </c>
      <c r="B1742" s="11">
        <f>VLOOKUP(A1742,[1]HD_price_daily!$A$8:$B$1768,2,0)</f>
        <v>407.14</v>
      </c>
      <c r="C1742">
        <f t="shared" si="108"/>
        <v>-2.2144298203477852E-2</v>
      </c>
      <c r="D1742" s="1" t="str">
        <f t="shared" ca="1" si="109"/>
        <v>=B1742/B1741-1</v>
      </c>
      <c r="E1742" s="8">
        <f>VLOOKUP(A1742,'[1]S&amp;P500_DAILY'!$A$8:$B$1768,2,0)</f>
        <v>6051.97</v>
      </c>
      <c r="F1742" s="1">
        <f t="shared" si="110"/>
        <v>-2.7239021174919609E-3</v>
      </c>
      <c r="G1742" s="1" t="str">
        <f t="shared" ca="1" si="111"/>
        <v>=E1742/E1741-1</v>
      </c>
    </row>
    <row r="1743" spans="1:7">
      <c r="A1743" s="14">
        <v>45701</v>
      </c>
      <c r="B1743" s="11">
        <f>VLOOKUP(A1743,[1]HD_price_daily!$A$8:$B$1768,2,0)</f>
        <v>412.43</v>
      </c>
      <c r="C1743">
        <f t="shared" si="108"/>
        <v>1.2993073635604535E-2</v>
      </c>
      <c r="D1743" s="1" t="str">
        <f t="shared" ca="1" si="109"/>
        <v>=B1743/B1742-1</v>
      </c>
      <c r="E1743" s="8">
        <f>VLOOKUP(A1743,'[1]S&amp;P500_DAILY'!$A$8:$B$1768,2,0)</f>
        <v>6115.07</v>
      </c>
      <c r="F1743" s="1">
        <f t="shared" si="110"/>
        <v>1.0426357037460532E-2</v>
      </c>
      <c r="G1743" s="1" t="str">
        <f t="shared" ca="1" si="111"/>
        <v>=E1743/E1742-1</v>
      </c>
    </row>
    <row r="1744" spans="1:7">
      <c r="A1744" s="14">
        <v>45702</v>
      </c>
      <c r="B1744" s="11">
        <f>VLOOKUP(A1744,[1]HD_price_daily!$A$8:$B$1768,2,0)</f>
        <v>409.5</v>
      </c>
      <c r="C1744">
        <f t="shared" si="108"/>
        <v>-7.1042358703294894E-3</v>
      </c>
      <c r="D1744" s="1" t="str">
        <f t="shared" ca="1" si="109"/>
        <v>=B1744/B1743-1</v>
      </c>
      <c r="E1744" s="8">
        <f>VLOOKUP(A1744,'[1]S&amp;P500_DAILY'!$A$8:$B$1768,2,0)</f>
        <v>6114.63</v>
      </c>
      <c r="F1744" s="1">
        <f t="shared" si="110"/>
        <v>-7.195338728738232E-5</v>
      </c>
      <c r="G1744" s="1" t="str">
        <f t="shared" ca="1" si="111"/>
        <v>=E1744/E1743-1</v>
      </c>
    </row>
    <row r="1745" spans="1:7">
      <c r="A1745" s="14">
        <v>45706</v>
      </c>
      <c r="B1745" s="11">
        <f>VLOOKUP(A1745,[1]HD_price_daily!$A$8:$B$1768,2,0)</f>
        <v>403.31</v>
      </c>
      <c r="C1745">
        <f t="shared" si="108"/>
        <v>-1.5115995115995151E-2</v>
      </c>
      <c r="D1745" s="1" t="str">
        <f t="shared" ca="1" si="109"/>
        <v>=B1745/B1744-1</v>
      </c>
      <c r="E1745" s="8">
        <f>VLOOKUP(A1745,'[1]S&amp;P500_DAILY'!$A$8:$B$1768,2,0)</f>
        <v>6129.58</v>
      </c>
      <c r="F1745" s="1">
        <f t="shared" si="110"/>
        <v>2.4449557863681637E-3</v>
      </c>
      <c r="G1745" s="1" t="str">
        <f t="shared" ca="1" si="111"/>
        <v>=E1745/E1744-1</v>
      </c>
    </row>
    <row r="1746" spans="1:7">
      <c r="A1746" s="14">
        <v>45707</v>
      </c>
      <c r="B1746" s="11">
        <f>VLOOKUP(A1746,[1]HD_price_daily!$A$8:$B$1768,2,0)</f>
        <v>395.43</v>
      </c>
      <c r="C1746">
        <f t="shared" si="108"/>
        <v>-1.9538320398700737E-2</v>
      </c>
      <c r="D1746" s="1" t="str">
        <f t="shared" ca="1" si="109"/>
        <v>=B1746/B1745-1</v>
      </c>
      <c r="E1746" s="8">
        <f>VLOOKUP(A1746,'[1]S&amp;P500_DAILY'!$A$8:$B$1768,2,0)</f>
        <v>6144.15</v>
      </c>
      <c r="F1746" s="1">
        <f t="shared" si="110"/>
        <v>2.3769980977488281E-3</v>
      </c>
      <c r="G1746" s="1" t="str">
        <f t="shared" ca="1" si="111"/>
        <v>=E1746/E1745-1</v>
      </c>
    </row>
    <row r="1747" spans="1:7">
      <c r="A1747" s="14">
        <v>45708</v>
      </c>
      <c r="B1747" s="11">
        <f>VLOOKUP(A1747,[1]HD_price_daily!$A$8:$B$1768,2,0)</f>
        <v>394.64</v>
      </c>
      <c r="C1747">
        <f t="shared" si="108"/>
        <v>-1.9978251523657953E-3</v>
      </c>
      <c r="D1747" s="1" t="str">
        <f t="shared" ca="1" si="109"/>
        <v>=B1747/B1746-1</v>
      </c>
      <c r="E1747" s="8">
        <f>VLOOKUP(A1747,'[1]S&amp;P500_DAILY'!$A$8:$B$1768,2,0)</f>
        <v>6117.52</v>
      </c>
      <c r="F1747" s="1">
        <f t="shared" si="110"/>
        <v>-4.3342040803039383E-3</v>
      </c>
      <c r="G1747" s="1" t="str">
        <f t="shared" ca="1" si="111"/>
        <v>=E1747/E1746-1</v>
      </c>
    </row>
    <row r="1748" spans="1:7">
      <c r="A1748" s="14">
        <v>45709</v>
      </c>
      <c r="B1748" s="11">
        <f>VLOOKUP(A1748,[1]HD_price_daily!$A$8:$B$1768,2,0)</f>
        <v>385.3</v>
      </c>
      <c r="C1748">
        <f t="shared" si="108"/>
        <v>-2.3667139671599391E-2</v>
      </c>
      <c r="D1748" s="1" t="str">
        <f t="shared" ca="1" si="109"/>
        <v>=B1748/B1747-1</v>
      </c>
      <c r="E1748" s="8">
        <f>VLOOKUP(A1748,'[1]S&amp;P500_DAILY'!$A$8:$B$1768,2,0)</f>
        <v>6013.13</v>
      </c>
      <c r="F1748" s="1">
        <f t="shared" si="110"/>
        <v>-1.70641044083224E-2</v>
      </c>
      <c r="G1748" s="1" t="str">
        <f t="shared" ca="1" si="111"/>
        <v>=E1748/E1747-1</v>
      </c>
    </row>
    <row r="1749" spans="1:7">
      <c r="A1749" s="14">
        <v>45712</v>
      </c>
      <c r="B1749" s="11">
        <f>VLOOKUP(A1749,[1]HD_price_daily!$A$8:$B$1768,2,0)</f>
        <v>382.42</v>
      </c>
      <c r="C1749">
        <f t="shared" si="108"/>
        <v>-7.4746950428237202E-3</v>
      </c>
      <c r="D1749" s="1" t="str">
        <f t="shared" ca="1" si="109"/>
        <v>=B1749/B1748-1</v>
      </c>
      <c r="E1749" s="8">
        <f>VLOOKUP(A1749,'[1]S&amp;P500_DAILY'!$A$8:$B$1768,2,0)</f>
        <v>5983.25</v>
      </c>
      <c r="F1749" s="1">
        <f t="shared" si="110"/>
        <v>-4.9691258961639395E-3</v>
      </c>
      <c r="G1749" s="1" t="str">
        <f t="shared" ca="1" si="111"/>
        <v>=E1749/E1748-1</v>
      </c>
    </row>
    <row r="1750" spans="1:7">
      <c r="A1750" s="14">
        <v>45713</v>
      </c>
      <c r="B1750" s="11">
        <f>VLOOKUP(A1750,[1]HD_price_daily!$A$8:$B$1768,2,0)</f>
        <v>393.29</v>
      </c>
      <c r="C1750">
        <f t="shared" si="108"/>
        <v>2.8424245593849706E-2</v>
      </c>
      <c r="D1750" s="1" t="str">
        <f t="shared" ca="1" si="109"/>
        <v>=B1750/B1749-1</v>
      </c>
      <c r="E1750" s="8">
        <f>VLOOKUP(A1750,'[1]S&amp;P500_DAILY'!$A$8:$B$1768,2,0)</f>
        <v>5955.25</v>
      </c>
      <c r="F1750" s="1">
        <f t="shared" si="110"/>
        <v>-4.6797309154723576E-3</v>
      </c>
      <c r="G1750" s="1" t="str">
        <f t="shared" ca="1" si="111"/>
        <v>=E1750/E1749-1</v>
      </c>
    </row>
    <row r="1751" spans="1:7">
      <c r="A1751" s="14">
        <v>45714</v>
      </c>
      <c r="B1751" s="11">
        <f>VLOOKUP(A1751,[1]HD_price_daily!$A$8:$B$1768,2,0)</f>
        <v>390.48</v>
      </c>
      <c r="C1751">
        <f t="shared" si="108"/>
        <v>-7.1448549416460727E-3</v>
      </c>
      <c r="D1751" s="1" t="str">
        <f t="shared" ca="1" si="109"/>
        <v>=B1751/B1750-1</v>
      </c>
      <c r="E1751" s="8">
        <f>VLOOKUP(A1751,'[1]S&amp;P500_DAILY'!$A$8:$B$1768,2,0)</f>
        <v>5956.06</v>
      </c>
      <c r="F1751" s="1">
        <f t="shared" si="110"/>
        <v>1.3601444103938931E-4</v>
      </c>
      <c r="G1751" s="1" t="str">
        <f t="shared" ca="1" si="111"/>
        <v>=E1751/E1750-1</v>
      </c>
    </row>
    <row r="1752" spans="1:7">
      <c r="A1752" s="14">
        <v>45715</v>
      </c>
      <c r="B1752" s="11">
        <f>VLOOKUP(A1752,[1]HD_price_daily!$A$8:$B$1768,2,0)</f>
        <v>390.27</v>
      </c>
      <c r="C1752">
        <f t="shared" si="108"/>
        <v>-5.3779963122324581E-4</v>
      </c>
      <c r="D1752" s="1" t="str">
        <f t="shared" ca="1" si="109"/>
        <v>=B1752/B1751-1</v>
      </c>
      <c r="E1752" s="8">
        <f>VLOOKUP(A1752,'[1]S&amp;P500_DAILY'!$A$8:$B$1768,2,0)</f>
        <v>5861.57</v>
      </c>
      <c r="F1752" s="1">
        <f t="shared" si="110"/>
        <v>-1.586451446090209E-2</v>
      </c>
      <c r="G1752" s="1" t="str">
        <f t="shared" ca="1" si="111"/>
        <v>=E1752/E1751-1</v>
      </c>
    </row>
    <row r="1753" spans="1:7">
      <c r="A1753" s="14">
        <v>45716</v>
      </c>
      <c r="B1753" s="11">
        <f>VLOOKUP(A1753,[1]HD_price_daily!$A$8:$B$1768,2,0)</f>
        <v>396.6</v>
      </c>
      <c r="C1753">
        <f t="shared" si="108"/>
        <v>1.6219540318241243E-2</v>
      </c>
      <c r="D1753" s="1" t="str">
        <f t="shared" ca="1" si="109"/>
        <v>=B1753/B1752-1</v>
      </c>
      <c r="E1753" s="8">
        <f>VLOOKUP(A1753,'[1]S&amp;P500_DAILY'!$A$8:$B$1768,2,0)</f>
        <v>5954.5</v>
      </c>
      <c r="F1753" s="1">
        <f t="shared" si="110"/>
        <v>1.5854114170776867E-2</v>
      </c>
      <c r="G1753" s="1" t="str">
        <f t="shared" ca="1" si="111"/>
        <v>=E1753/E1752-1</v>
      </c>
    </row>
    <row r="1754" spans="1:7">
      <c r="A1754" s="14">
        <v>45719</v>
      </c>
      <c r="B1754" s="11">
        <f>VLOOKUP(A1754,[1]HD_price_daily!$A$8:$B$1768,2,0)</f>
        <v>389.69</v>
      </c>
      <c r="C1754">
        <f t="shared" si="108"/>
        <v>-1.7423096318709086E-2</v>
      </c>
      <c r="D1754" s="1" t="str">
        <f t="shared" ca="1" si="109"/>
        <v>=B1754/B1753-1</v>
      </c>
      <c r="E1754" s="8">
        <f>VLOOKUP(A1754,'[1]S&amp;P500_DAILY'!$A$8:$B$1768,2,0)</f>
        <v>5849.72</v>
      </c>
      <c r="F1754" s="1">
        <f t="shared" si="110"/>
        <v>-1.7596775547904953E-2</v>
      </c>
      <c r="G1754" s="1" t="str">
        <f t="shared" ca="1" si="111"/>
        <v>=E1754/E1753-1</v>
      </c>
    </row>
    <row r="1755" spans="1:7">
      <c r="A1755" s="14">
        <v>45720</v>
      </c>
      <c r="B1755" s="11">
        <f>VLOOKUP(A1755,[1]HD_price_daily!$A$8:$B$1768,2,0)</f>
        <v>381.68</v>
      </c>
      <c r="C1755">
        <f t="shared" si="108"/>
        <v>-2.0554799969206283E-2</v>
      </c>
      <c r="D1755" s="1" t="str">
        <f t="shared" ca="1" si="109"/>
        <v>=B1755/B1754-1</v>
      </c>
      <c r="E1755" s="8">
        <f>VLOOKUP(A1755,'[1]S&amp;P500_DAILY'!$A$8:$B$1768,2,0)</f>
        <v>5778.15</v>
      </c>
      <c r="F1755" s="1">
        <f t="shared" si="110"/>
        <v>-1.2234773630190987E-2</v>
      </c>
      <c r="G1755" s="1" t="str">
        <f t="shared" ca="1" si="111"/>
        <v>=E1755/E1754-1</v>
      </c>
    </row>
    <row r="1756" spans="1:7">
      <c r="A1756" s="14">
        <v>45721</v>
      </c>
      <c r="B1756" s="11">
        <f>VLOOKUP(A1756,[1]HD_price_daily!$A$8:$B$1768,2,0)</f>
        <v>386.35</v>
      </c>
      <c r="C1756">
        <f t="shared" si="108"/>
        <v>1.2235380423391451E-2</v>
      </c>
      <c r="D1756" s="1" t="str">
        <f t="shared" ca="1" si="109"/>
        <v>=B1756/B1755-1</v>
      </c>
      <c r="E1756" s="8">
        <f>VLOOKUP(A1756,'[1]S&amp;P500_DAILY'!$A$8:$B$1768,2,0)</f>
        <v>5842.63</v>
      </c>
      <c r="F1756" s="1">
        <f t="shared" si="110"/>
        <v>1.1159281084776262E-2</v>
      </c>
      <c r="G1756" s="1" t="str">
        <f t="shared" ca="1" si="111"/>
        <v>=E1756/E1755-1</v>
      </c>
    </row>
    <row r="1757" spans="1:7">
      <c r="A1757" s="14">
        <v>45722</v>
      </c>
      <c r="B1757" s="11">
        <f>VLOOKUP(A1757,[1]HD_price_daily!$A$8:$B$1768,2,0)</f>
        <v>381.73</v>
      </c>
      <c r="C1757">
        <f t="shared" si="108"/>
        <v>-1.1958069108321534E-2</v>
      </c>
      <c r="D1757" s="1" t="str">
        <f t="shared" ca="1" si="109"/>
        <v>=B1757/B1756-1</v>
      </c>
      <c r="E1757" s="8">
        <f>VLOOKUP(A1757,'[1]S&amp;P500_DAILY'!$A$8:$B$1768,2,0)</f>
        <v>5738.52</v>
      </c>
      <c r="F1757" s="1">
        <f t="shared" si="110"/>
        <v>-1.7819030128555013E-2</v>
      </c>
      <c r="G1757" s="1" t="str">
        <f t="shared" ca="1" si="111"/>
        <v>=E1757/E1756-1</v>
      </c>
    </row>
    <row r="1758" spans="1:7">
      <c r="A1758" s="14">
        <v>45723</v>
      </c>
      <c r="B1758" s="11">
        <f>VLOOKUP(A1758,[1]HD_price_daily!$A$8:$B$1768,2,0)</f>
        <v>376.8</v>
      </c>
      <c r="C1758">
        <f t="shared" si="108"/>
        <v>-1.2914887485919402E-2</v>
      </c>
      <c r="D1758" s="1" t="str">
        <f t="shared" ca="1" si="109"/>
        <v>=B1758/B1757-1</v>
      </c>
      <c r="E1758" s="8">
        <f>VLOOKUP(A1758,'[1]S&amp;P500_DAILY'!$A$8:$B$1768,2,0)</f>
        <v>5770.2</v>
      </c>
      <c r="F1758" s="1">
        <f t="shared" si="110"/>
        <v>5.5205871897281433E-3</v>
      </c>
      <c r="G1758" s="1" t="str">
        <f t="shared" ca="1" si="111"/>
        <v>=E1758/E1757-1</v>
      </c>
    </row>
    <row r="1759" spans="1:7">
      <c r="A1759" s="14">
        <v>45726</v>
      </c>
      <c r="B1759" s="11">
        <f>VLOOKUP(A1759,[1]HD_price_daily!$A$8:$B$1768,2,0)</f>
        <v>374.65</v>
      </c>
      <c r="C1759">
        <f t="shared" si="108"/>
        <v>-5.7059447983015543E-3</v>
      </c>
      <c r="D1759" s="1" t="str">
        <f t="shared" ca="1" si="109"/>
        <v>=B1759/B1758-1</v>
      </c>
      <c r="E1759" s="8">
        <f>VLOOKUP(A1759,'[1]S&amp;P500_DAILY'!$A$8:$B$1768,2,0)</f>
        <v>5614.56</v>
      </c>
      <c r="F1759" s="1">
        <f t="shared" si="110"/>
        <v>-2.6973068524487775E-2</v>
      </c>
      <c r="G1759" s="1" t="str">
        <f t="shared" ca="1" si="111"/>
        <v>=E1759/E1758-1</v>
      </c>
    </row>
    <row r="1760" spans="1:7">
      <c r="A1760" s="14">
        <v>45727</v>
      </c>
      <c r="B1760" s="11">
        <f>VLOOKUP(A1760,[1]HD_price_daily!$A$8:$B$1768,2,0)</f>
        <v>368.16</v>
      </c>
      <c r="C1760">
        <f t="shared" si="108"/>
        <v>-1.7322834645669194E-2</v>
      </c>
      <c r="D1760" s="1" t="str">
        <f t="shared" ca="1" si="109"/>
        <v>=B1760/B1759-1</v>
      </c>
      <c r="E1760" s="8">
        <f>VLOOKUP(A1760,'[1]S&amp;P500_DAILY'!$A$8:$B$1768,2,0)</f>
        <v>5572.07</v>
      </c>
      <c r="F1760" s="1">
        <f t="shared" si="110"/>
        <v>-7.5678236584880709E-3</v>
      </c>
      <c r="G1760" s="1" t="str">
        <f t="shared" ca="1" si="111"/>
        <v>=E1760/E1759-1</v>
      </c>
    </row>
    <row r="1761" spans="1:7">
      <c r="A1761" s="14">
        <v>45728</v>
      </c>
      <c r="B1761" s="11">
        <f>VLOOKUP(A1761,[1]HD_price_daily!$A$8:$B$1768,2,0)</f>
        <v>364.73</v>
      </c>
      <c r="C1761">
        <f t="shared" si="108"/>
        <v>-9.3166014776184802E-3</v>
      </c>
      <c r="D1761" s="1" t="str">
        <f t="shared" ca="1" si="109"/>
        <v>=B1761/B1760-1</v>
      </c>
      <c r="E1761" s="8">
        <f>VLOOKUP(A1761,'[1]S&amp;P500_DAILY'!$A$8:$B$1768,2,0)</f>
        <v>5599.3</v>
      </c>
      <c r="F1761" s="1">
        <f t="shared" si="110"/>
        <v>4.8868732804865367E-3</v>
      </c>
      <c r="G1761" s="1" t="str">
        <f t="shared" ca="1" si="111"/>
        <v>=E1761/E1760-1</v>
      </c>
    </row>
    <row r="1762" spans="1:7">
      <c r="A1762" s="14">
        <v>45729</v>
      </c>
      <c r="B1762" s="11">
        <f>VLOOKUP(A1762,[1]HD_price_daily!$A$8:$B$1768,2,0)</f>
        <v>347.25</v>
      </c>
      <c r="C1762">
        <f t="shared" si="108"/>
        <v>-4.792586296712642E-2</v>
      </c>
      <c r="D1762" s="1" t="str">
        <f t="shared" ca="1" si="109"/>
        <v>=B1762/B1761-1</v>
      </c>
      <c r="E1762" s="8">
        <f>VLOOKUP(A1762,'[1]S&amp;P500_DAILY'!$A$8:$B$1768,2,0)</f>
        <v>5521.52</v>
      </c>
      <c r="F1762" s="1">
        <f t="shared" si="110"/>
        <v>-1.3891022092047178E-2</v>
      </c>
      <c r="G1762" s="1" t="str">
        <f t="shared" ca="1" si="111"/>
        <v>=E1762/E1761-1</v>
      </c>
    </row>
  </sheetData>
  <sortState xmlns:xlrd2="http://schemas.microsoft.com/office/spreadsheetml/2017/richdata2" ref="A2:E1762">
    <sortCondition ref="A2:A1762"/>
  </sortState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854A-1B1A-BE41-A3B6-53D1FF691D9A}">
  <sheetPr codeName="Sheet1"/>
  <dimension ref="A1:J58"/>
  <sheetViews>
    <sheetView zoomScale="89" zoomScaleNormal="89" workbookViewId="0">
      <selection activeCell="I3" sqref="I3"/>
    </sheetView>
  </sheetViews>
  <sheetFormatPr defaultColWidth="10.58203125" defaultRowHeight="22.5" customHeight="1"/>
  <cols>
    <col min="1" max="1" width="15.08203125" customWidth="1"/>
    <col min="2" max="2" width="14.25" bestFit="1" customWidth="1"/>
    <col min="3" max="3" width="12.58203125" customWidth="1"/>
    <col min="4" max="4" width="32.83203125" customWidth="1"/>
    <col min="6" max="6" width="39.4140625" bestFit="1" customWidth="1"/>
    <col min="7" max="7" width="20" customWidth="1"/>
    <col min="8" max="8" width="15.58203125" customWidth="1"/>
    <col min="9" max="9" width="15.83203125" bestFit="1" customWidth="1"/>
    <col min="10" max="10" width="20.83203125" customWidth="1"/>
  </cols>
  <sheetData>
    <row r="1" spans="1:10" ht="22.5" customHeight="1">
      <c r="A1" s="2" t="s">
        <v>0</v>
      </c>
      <c r="B1" s="2" t="s">
        <v>1</v>
      </c>
      <c r="C1" s="2" t="s">
        <v>17</v>
      </c>
      <c r="E1" s="2" t="s">
        <v>17</v>
      </c>
      <c r="F1" s="3" t="s">
        <v>18</v>
      </c>
      <c r="G1" s="4"/>
      <c r="I1" s="40" t="s">
        <v>19</v>
      </c>
      <c r="J1" s="40"/>
    </row>
    <row r="2" spans="1:10" ht="22.5" customHeight="1">
      <c r="A2" s="14">
        <v>43150</v>
      </c>
      <c r="B2">
        <v>1.03</v>
      </c>
      <c r="C2" s="21">
        <v>2018</v>
      </c>
      <c r="D2" s="22"/>
      <c r="E2">
        <v>2018</v>
      </c>
      <c r="F2" s="23">
        <f t="shared" ref="F2:F8" si="0">SUMIF($C$2:$C$29,E2,$B$2:$B$29)</f>
        <v>4.12</v>
      </c>
      <c r="G2" t="str">
        <f ca="1">_xlfn.FORMULATEXT(F2)</f>
        <v>=SUMIF($C$2:$C$29,E2,$B$2:$B$29)</v>
      </c>
      <c r="I2" s="40"/>
      <c r="J2" s="40"/>
    </row>
    <row r="3" spans="1:10" ht="22.5" customHeight="1">
      <c r="A3" s="14">
        <v>43237</v>
      </c>
      <c r="B3">
        <v>1.03</v>
      </c>
      <c r="C3" s="21">
        <v>2018</v>
      </c>
      <c r="E3">
        <v>2019</v>
      </c>
      <c r="F3" s="23">
        <f t="shared" si="0"/>
        <v>5.44</v>
      </c>
      <c r="G3" t="str">
        <f t="shared" ref="G3:G8" ca="1" si="1">_xlfn.FORMULATEXT(F3)</f>
        <v>=SUMIF($C$2:$C$29,E3,$B$2:$B$29)</v>
      </c>
      <c r="I3" s="33">
        <f>(F8/F6)^(1/(E8-E6))-1</f>
        <v>8.8214375165017511E-2</v>
      </c>
      <c r="J3" t="str">
        <f ca="1">_xlfn.FORMULATEXT(I3)</f>
        <v>=(F8/F6)^(1/(E8-E6))-1</v>
      </c>
    </row>
    <row r="4" spans="1:10" ht="22.5" customHeight="1">
      <c r="A4" s="14">
        <v>43328</v>
      </c>
      <c r="B4">
        <v>1.03</v>
      </c>
      <c r="C4" s="21">
        <v>2018</v>
      </c>
      <c r="E4">
        <v>2020</v>
      </c>
      <c r="F4" s="23">
        <f t="shared" si="0"/>
        <v>6</v>
      </c>
      <c r="G4" t="str">
        <f t="shared" ca="1" si="1"/>
        <v>=SUMIF($C$2:$C$29,E4,$B$2:$B$29)</v>
      </c>
      <c r="I4" s="23"/>
    </row>
    <row r="5" spans="1:10" ht="22.5" customHeight="1">
      <c r="A5" s="14">
        <v>43419</v>
      </c>
      <c r="B5">
        <v>1.03</v>
      </c>
      <c r="C5" s="21">
        <v>2018</v>
      </c>
      <c r="E5">
        <v>2021</v>
      </c>
      <c r="F5" s="23">
        <f t="shared" si="0"/>
        <v>6.6</v>
      </c>
      <c r="G5" t="str">
        <f t="shared" ca="1" si="1"/>
        <v>=SUMIF($C$2:$C$29,E5,$B$2:$B$29)</v>
      </c>
    </row>
    <row r="6" spans="1:10" ht="22.5" customHeight="1">
      <c r="A6" s="14">
        <v>43522</v>
      </c>
      <c r="B6">
        <v>1.36</v>
      </c>
      <c r="C6" s="21">
        <v>2019</v>
      </c>
      <c r="E6">
        <v>2022</v>
      </c>
      <c r="F6" s="23">
        <f t="shared" si="0"/>
        <v>7.6</v>
      </c>
      <c r="G6" t="str">
        <f t="shared" ca="1" si="1"/>
        <v>=SUMIF($C$2:$C$29,E6,$B$2:$B$29)</v>
      </c>
      <c r="J6" s="24"/>
    </row>
    <row r="7" spans="1:10" ht="22.5" customHeight="1">
      <c r="A7" s="14">
        <v>43608</v>
      </c>
      <c r="B7">
        <v>1.36</v>
      </c>
      <c r="C7" s="21">
        <v>2019</v>
      </c>
      <c r="E7">
        <v>2023</v>
      </c>
      <c r="F7" s="23">
        <f t="shared" si="0"/>
        <v>8.36</v>
      </c>
      <c r="G7" t="str">
        <f t="shared" ca="1" si="1"/>
        <v>=SUMIF($C$2:$C$29,E7,$B$2:$B$29)</v>
      </c>
    </row>
    <row r="8" spans="1:10" ht="22.5" customHeight="1">
      <c r="A8" s="14">
        <v>43699</v>
      </c>
      <c r="B8">
        <v>1.36</v>
      </c>
      <c r="C8" s="21">
        <v>2019</v>
      </c>
      <c r="E8">
        <v>2024</v>
      </c>
      <c r="F8" s="23">
        <f t="shared" si="0"/>
        <v>9</v>
      </c>
      <c r="G8" t="str">
        <f t="shared" ca="1" si="1"/>
        <v>=SUMIF($C$2:$C$29,E8,$B$2:$B$29)</v>
      </c>
      <c r="I8">
        <f>F8/F7-1</f>
        <v>7.6555023923445153E-2</v>
      </c>
    </row>
    <row r="9" spans="1:10" ht="22.5" customHeight="1">
      <c r="A9" s="14">
        <v>43790</v>
      </c>
      <c r="B9">
        <v>1.36</v>
      </c>
      <c r="C9" s="21">
        <v>2019</v>
      </c>
      <c r="F9" s="23"/>
    </row>
    <row r="10" spans="1:10" ht="22.5" customHeight="1">
      <c r="A10" s="14">
        <v>43886</v>
      </c>
      <c r="B10">
        <v>1.5</v>
      </c>
      <c r="C10" s="21">
        <v>2020</v>
      </c>
    </row>
    <row r="11" spans="1:10" ht="22.5" customHeight="1">
      <c r="A11" s="14">
        <v>43970</v>
      </c>
      <c r="B11">
        <v>1.5</v>
      </c>
      <c r="C11" s="21">
        <v>2020</v>
      </c>
    </row>
    <row r="12" spans="1:10" ht="22.5" customHeight="1">
      <c r="A12" s="14">
        <v>44061</v>
      </c>
      <c r="B12">
        <v>1.5</v>
      </c>
      <c r="C12" s="21">
        <v>2020</v>
      </c>
    </row>
    <row r="13" spans="1:10" ht="22.5" customHeight="1">
      <c r="A13" s="14">
        <v>44154</v>
      </c>
      <c r="B13">
        <v>1.5</v>
      </c>
      <c r="C13" s="21">
        <v>2020</v>
      </c>
    </row>
    <row r="14" spans="1:10" ht="22.5" customHeight="1">
      <c r="A14" s="14">
        <v>44250</v>
      </c>
      <c r="B14">
        <v>1.65</v>
      </c>
      <c r="C14" s="21">
        <v>2021</v>
      </c>
    </row>
    <row r="15" spans="1:10" ht="22.5" customHeight="1">
      <c r="A15" s="14">
        <v>44336</v>
      </c>
      <c r="B15">
        <v>1.65</v>
      </c>
      <c r="C15" s="21">
        <v>2021</v>
      </c>
    </row>
    <row r="16" spans="1:10" ht="22.5" customHeight="1">
      <c r="A16" s="14">
        <v>44427</v>
      </c>
      <c r="B16">
        <v>1.65</v>
      </c>
      <c r="C16" s="21">
        <v>2021</v>
      </c>
    </row>
    <row r="17" spans="1:3" ht="22.5" customHeight="1">
      <c r="A17" s="14">
        <v>44518</v>
      </c>
      <c r="B17">
        <v>1.65</v>
      </c>
      <c r="C17" s="21">
        <v>2021</v>
      </c>
    </row>
    <row r="18" spans="1:3" ht="22.5" customHeight="1">
      <c r="A18" s="14">
        <v>44614</v>
      </c>
      <c r="B18">
        <v>1.9</v>
      </c>
      <c r="C18" s="21">
        <v>2022</v>
      </c>
    </row>
    <row r="19" spans="1:3" ht="22.5" customHeight="1">
      <c r="A19" s="14">
        <v>44700</v>
      </c>
      <c r="B19">
        <v>1.9</v>
      </c>
      <c r="C19" s="21">
        <v>2022</v>
      </c>
    </row>
    <row r="20" spans="1:3" ht="22.5" customHeight="1">
      <c r="A20" s="14">
        <v>44791</v>
      </c>
      <c r="B20">
        <v>1.9</v>
      </c>
      <c r="C20" s="21">
        <v>2022</v>
      </c>
    </row>
    <row r="21" spans="1:3" ht="22.5" customHeight="1">
      <c r="A21" s="14">
        <v>44882</v>
      </c>
      <c r="B21">
        <v>1.9</v>
      </c>
      <c r="C21" s="21">
        <v>2022</v>
      </c>
    </row>
    <row r="22" spans="1:3" ht="22.5" customHeight="1">
      <c r="A22" s="14">
        <v>44978</v>
      </c>
      <c r="B22">
        <v>2.09</v>
      </c>
      <c r="C22" s="21">
        <v>2023</v>
      </c>
    </row>
    <row r="23" spans="1:3" ht="22.5" customHeight="1">
      <c r="A23" s="14">
        <v>45064</v>
      </c>
      <c r="B23">
        <v>2.09</v>
      </c>
      <c r="C23" s="21">
        <v>2023</v>
      </c>
    </row>
    <row r="24" spans="1:3" ht="22.5" customHeight="1">
      <c r="A24" s="14">
        <v>45155</v>
      </c>
      <c r="B24">
        <v>2.09</v>
      </c>
      <c r="C24" s="21">
        <v>2023</v>
      </c>
    </row>
    <row r="25" spans="1:3" ht="22.5" customHeight="1">
      <c r="A25" s="14">
        <v>45246</v>
      </c>
      <c r="B25">
        <v>2.09</v>
      </c>
      <c r="C25" s="21">
        <v>2023</v>
      </c>
    </row>
    <row r="26" spans="1:3" ht="22.5" customHeight="1">
      <c r="A26" s="14">
        <v>45342</v>
      </c>
      <c r="B26">
        <v>2.25</v>
      </c>
      <c r="C26" s="21">
        <v>2024</v>
      </c>
    </row>
    <row r="27" spans="1:3" ht="22.5" customHeight="1">
      <c r="A27" s="14">
        <v>45428</v>
      </c>
      <c r="B27">
        <v>2.25</v>
      </c>
      <c r="C27" s="21">
        <v>2024</v>
      </c>
    </row>
    <row r="28" spans="1:3" ht="22.5" customHeight="1">
      <c r="A28" s="14">
        <v>45519</v>
      </c>
      <c r="B28">
        <v>2.25</v>
      </c>
      <c r="C28" s="21">
        <v>2024</v>
      </c>
    </row>
    <row r="29" spans="1:3" ht="22.5" customHeight="1">
      <c r="A29" s="14">
        <v>45610</v>
      </c>
      <c r="B29">
        <v>2.25</v>
      </c>
      <c r="C29" s="21">
        <v>2024</v>
      </c>
    </row>
    <row r="30" spans="1:3" ht="22.5" customHeight="1">
      <c r="A30" s="5"/>
      <c r="B30" s="6"/>
      <c r="C30" s="6"/>
    </row>
    <row r="31" spans="1:3" ht="22.5" customHeight="1">
      <c r="A31" s="5"/>
      <c r="B31" s="6"/>
      <c r="C31" s="6"/>
    </row>
    <row r="32" spans="1:3" ht="22.5" customHeight="1">
      <c r="A32" s="5"/>
      <c r="B32" s="6"/>
      <c r="C32" s="6"/>
    </row>
    <row r="33" spans="1:3" ht="22.5" customHeight="1">
      <c r="A33" s="5"/>
      <c r="B33" s="6"/>
      <c r="C33" s="6"/>
    </row>
    <row r="34" spans="1:3" ht="22.5" customHeight="1">
      <c r="A34" s="5"/>
      <c r="B34" s="6"/>
      <c r="C34" s="6"/>
    </row>
    <row r="35" spans="1:3" ht="22.5" customHeight="1">
      <c r="A35" s="5"/>
      <c r="B35" s="6"/>
      <c r="C35" s="6"/>
    </row>
    <row r="36" spans="1:3" ht="22.5" customHeight="1">
      <c r="A36" s="5"/>
      <c r="B36" s="6"/>
      <c r="C36" s="6"/>
    </row>
    <row r="37" spans="1:3" ht="22.5" customHeight="1">
      <c r="A37" s="5"/>
      <c r="B37" s="6"/>
      <c r="C37" s="6"/>
    </row>
    <row r="38" spans="1:3" ht="22.5" customHeight="1">
      <c r="A38" s="5"/>
      <c r="B38" s="6"/>
      <c r="C38" s="6"/>
    </row>
    <row r="39" spans="1:3" ht="22.5" customHeight="1">
      <c r="A39" s="5"/>
      <c r="B39" s="6"/>
      <c r="C39" s="6"/>
    </row>
    <row r="40" spans="1:3" ht="22.5" customHeight="1">
      <c r="A40" s="5"/>
      <c r="B40" s="6"/>
      <c r="C40" s="6"/>
    </row>
    <row r="41" spans="1:3" ht="22.5" customHeight="1">
      <c r="A41" s="5"/>
      <c r="B41" s="6"/>
      <c r="C41" s="6"/>
    </row>
    <row r="42" spans="1:3" ht="22.5" customHeight="1">
      <c r="A42" s="5"/>
      <c r="B42" s="6"/>
      <c r="C42" s="6"/>
    </row>
    <row r="43" spans="1:3" ht="22.5" customHeight="1">
      <c r="A43" s="5"/>
      <c r="B43" s="6"/>
      <c r="C43" s="6"/>
    </row>
    <row r="44" spans="1:3" ht="22.5" customHeight="1">
      <c r="A44" s="5"/>
      <c r="B44" s="6"/>
      <c r="C44" s="6"/>
    </row>
    <row r="45" spans="1:3" ht="22.5" customHeight="1">
      <c r="A45" s="5"/>
      <c r="B45" s="6"/>
      <c r="C45" s="6"/>
    </row>
    <row r="46" spans="1:3" ht="22.5" customHeight="1">
      <c r="A46" s="5"/>
      <c r="B46" s="6"/>
      <c r="C46" s="6"/>
    </row>
    <row r="47" spans="1:3" ht="22.5" customHeight="1">
      <c r="A47" s="5"/>
      <c r="B47" s="6"/>
      <c r="C47" s="6"/>
    </row>
    <row r="48" spans="1:3" ht="22.5" customHeight="1">
      <c r="A48" s="5"/>
      <c r="B48" s="6"/>
      <c r="C48" s="6"/>
    </row>
    <row r="49" spans="1:7" ht="22.5" customHeight="1">
      <c r="A49" s="5"/>
      <c r="B49" s="6"/>
      <c r="C49" s="6"/>
    </row>
    <row r="50" spans="1:7" ht="22.5" customHeight="1">
      <c r="A50" s="5"/>
      <c r="B50" s="6"/>
      <c r="C50" s="6"/>
    </row>
    <row r="51" spans="1:7" ht="22.5" customHeight="1">
      <c r="A51" s="5"/>
      <c r="B51" s="6"/>
      <c r="C51" s="6"/>
    </row>
    <row r="52" spans="1:7" ht="22.5" customHeight="1">
      <c r="A52" s="5"/>
      <c r="B52" s="6"/>
      <c r="C52" s="6"/>
    </row>
    <row r="53" spans="1:7" ht="22.5" customHeight="1">
      <c r="A53" s="5"/>
      <c r="B53" s="6"/>
      <c r="C53" s="6"/>
    </row>
    <row r="54" spans="1:7" ht="22.5" customHeight="1">
      <c r="A54" s="5"/>
      <c r="B54" s="6"/>
      <c r="C54" s="6"/>
    </row>
    <row r="57" spans="1:7" ht="22.5" customHeight="1">
      <c r="E57" s="39" t="s">
        <v>7</v>
      </c>
      <c r="F57" s="39"/>
      <c r="G57" s="39"/>
    </row>
    <row r="58" spans="1:7" ht="22.5" customHeight="1">
      <c r="E58" s="39"/>
      <c r="F58" s="39"/>
      <c r="G58" s="39"/>
    </row>
  </sheetData>
  <autoFilter ref="E1:F1" xr:uid="{CD75854A-1B1A-BE41-A3B6-53D1FF691D9A}">
    <sortState xmlns:xlrd2="http://schemas.microsoft.com/office/spreadsheetml/2017/richdata2" ref="E2:F28">
      <sortCondition ref="E1"/>
    </sortState>
  </autoFilter>
  <sortState xmlns:xlrd2="http://schemas.microsoft.com/office/spreadsheetml/2017/richdata2" ref="A2:C29">
    <sortCondition ref="A2:A29"/>
  </sortState>
  <mergeCells count="2">
    <mergeCell ref="E57:G58"/>
    <mergeCell ref="I1:J2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26E0-2272-6744-BE52-EB85E12A700A}">
  <sheetPr codeName="Sheet4"/>
  <dimension ref="B1:G19"/>
  <sheetViews>
    <sheetView zoomScale="105" workbookViewId="0">
      <selection activeCell="H2" sqref="H2:H5"/>
    </sheetView>
  </sheetViews>
  <sheetFormatPr defaultColWidth="10.58203125" defaultRowHeight="15.5"/>
  <cols>
    <col min="2" max="2" width="14.4140625" customWidth="1"/>
    <col min="3" max="3" width="13.5" customWidth="1"/>
    <col min="4" max="4" width="20.08203125" bestFit="1" customWidth="1"/>
    <col min="5" max="5" width="18.08203125" customWidth="1"/>
    <col min="6" max="6" width="18.9140625" bestFit="1" customWidth="1"/>
    <col min="8" max="8" width="11.83203125" bestFit="1" customWidth="1"/>
  </cols>
  <sheetData>
    <row r="1" spans="2:7">
      <c r="B1" s="31" t="s">
        <v>0</v>
      </c>
      <c r="C1" s="31" t="s">
        <v>2</v>
      </c>
      <c r="D1" s="31" t="s">
        <v>3</v>
      </c>
      <c r="E1" s="31" t="s">
        <v>4</v>
      </c>
      <c r="F1" s="31" t="s">
        <v>32</v>
      </c>
    </row>
    <row r="2" spans="2:7" ht="23.5">
      <c r="B2" s="30">
        <v>44561</v>
      </c>
      <c r="C2" s="32">
        <v>43488000</v>
      </c>
      <c r="D2" s="32">
        <f>E2-C2</f>
        <v>33042000</v>
      </c>
      <c r="E2" s="32">
        <v>76530000</v>
      </c>
      <c r="F2" s="32">
        <f>C2/E2</f>
        <v>0.56824774598196781</v>
      </c>
      <c r="G2" t="str">
        <f ca="1">_xlfn.FORMULATEXT(F2)</f>
        <v>=C2/E2</v>
      </c>
    </row>
    <row r="3" spans="2:7" ht="23.5">
      <c r="B3" s="30">
        <v>44926</v>
      </c>
      <c r="C3" s="32">
        <v>46467000</v>
      </c>
      <c r="D3" s="32">
        <f t="shared" ref="D3:D5" si="0">E3-C3</f>
        <v>29978000</v>
      </c>
      <c r="E3" s="32">
        <v>76445000</v>
      </c>
      <c r="F3" s="32">
        <f>C3/E3</f>
        <v>0.60784878016874877</v>
      </c>
      <c r="G3" t="str">
        <f t="shared" ref="G3:G5" ca="1" si="1">_xlfn.FORMULATEXT(F3)</f>
        <v>=C3/E3</v>
      </c>
    </row>
    <row r="4" spans="2:7" ht="23.5">
      <c r="B4" s="30">
        <v>45291</v>
      </c>
      <c r="C4" s="32">
        <v>50595000</v>
      </c>
      <c r="D4" s="32">
        <f t="shared" si="0"/>
        <v>21281000</v>
      </c>
      <c r="E4" s="32">
        <v>71876000</v>
      </c>
      <c r="F4" s="32">
        <f>C4/E4</f>
        <v>0.70392064110412378</v>
      </c>
      <c r="G4" t="str">
        <f t="shared" ca="1" si="1"/>
        <v>=C4/E4</v>
      </c>
    </row>
    <row r="5" spans="2:7" ht="23.5">
      <c r="B5" s="30">
        <v>45657</v>
      </c>
      <c r="C5" s="32">
        <v>52511000</v>
      </c>
      <c r="D5" s="32">
        <f t="shared" si="0"/>
        <v>18070000</v>
      </c>
      <c r="E5" s="32">
        <v>70581000</v>
      </c>
      <c r="F5" s="32">
        <f>C5/E5</f>
        <v>0.74398209149771188</v>
      </c>
      <c r="G5" t="str">
        <f t="shared" ca="1" si="1"/>
        <v>=C5/E5</v>
      </c>
    </row>
    <row r="9" spans="2:7">
      <c r="C9" s="39" t="s">
        <v>7</v>
      </c>
      <c r="D9" s="39"/>
    </row>
    <row r="19" ht="16" customHeight="1"/>
  </sheetData>
  <mergeCells count="1">
    <mergeCell ref="C9:D9"/>
  </mergeCells>
  <pageMargins left="0.7" right="0.7" top="0.75" bottom="0.75" header="0.3" footer="0.3"/>
  <pageSetup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F851-59B2-AA47-97D0-5D8BECF0A9FC}">
  <dimension ref="A1:G79"/>
  <sheetViews>
    <sheetView zoomScale="79" workbookViewId="0">
      <selection activeCell="G4" sqref="G4"/>
    </sheetView>
  </sheetViews>
  <sheetFormatPr defaultColWidth="10.58203125" defaultRowHeight="26"/>
  <cols>
    <col min="1" max="1" width="26.83203125" style="12" customWidth="1"/>
    <col min="2" max="2" width="15.75" style="7" customWidth="1"/>
    <col min="4" max="4" width="40.5" bestFit="1" customWidth="1"/>
    <col min="5" max="5" width="17.08203125" customWidth="1"/>
    <col min="6" max="6" width="28.33203125" customWidth="1"/>
    <col min="7" max="7" width="15.25" customWidth="1"/>
  </cols>
  <sheetData>
    <row r="1" spans="1:7">
      <c r="A1" s="12" t="s">
        <v>0</v>
      </c>
      <c r="B1" s="7" t="s">
        <v>10</v>
      </c>
    </row>
    <row r="2" spans="1:7">
      <c r="A2" s="15">
        <v>44564</v>
      </c>
      <c r="B2" s="16">
        <v>27.33</v>
      </c>
      <c r="D2" s="7" t="s">
        <v>20</v>
      </c>
      <c r="E2" s="25">
        <f>AVERAGE(B2:B40)</f>
        <v>21.566666666666663</v>
      </c>
      <c r="F2" t="str">
        <f ca="1">_xlfn.FORMULATEXT(E2)</f>
        <v>=AVERAGE(B2:B40)</v>
      </c>
    </row>
    <row r="3" spans="1:7">
      <c r="A3" s="15">
        <v>44593</v>
      </c>
      <c r="B3" s="16">
        <v>23.76</v>
      </c>
      <c r="D3" s="7"/>
      <c r="E3" s="7"/>
    </row>
    <row r="4" spans="1:7">
      <c r="A4" s="15">
        <v>44621</v>
      </c>
      <c r="B4" s="16">
        <v>20.64</v>
      </c>
      <c r="D4" s="7"/>
      <c r="E4" s="7"/>
    </row>
    <row r="5" spans="1:7" ht="26.15" customHeight="1">
      <c r="A5" s="15">
        <v>44652</v>
      </c>
      <c r="B5" s="16">
        <v>19.170000000000002</v>
      </c>
      <c r="D5" s="7"/>
      <c r="E5" s="41" t="s">
        <v>11</v>
      </c>
      <c r="F5" s="17">
        <v>15.06</v>
      </c>
    </row>
    <row r="6" spans="1:7" ht="17.5" customHeight="1">
      <c r="A6" s="15">
        <v>44683</v>
      </c>
      <c r="B6" s="16">
        <v>19.489999999999998</v>
      </c>
      <c r="E6" s="41"/>
      <c r="F6" s="17"/>
    </row>
    <row r="7" spans="1:7">
      <c r="A7" s="15">
        <v>44713</v>
      </c>
      <c r="B7" s="16">
        <v>18.87</v>
      </c>
      <c r="E7" s="13"/>
    </row>
    <row r="8" spans="1:7" ht="17.5">
      <c r="A8" s="15">
        <v>44743</v>
      </c>
      <c r="B8" s="16">
        <v>17.72</v>
      </c>
    </row>
    <row r="9" spans="1:7" ht="17.5">
      <c r="A9" s="15">
        <v>44774</v>
      </c>
      <c r="B9" s="16">
        <v>18.79</v>
      </c>
      <c r="E9" s="39" t="s">
        <v>7</v>
      </c>
      <c r="F9" s="39"/>
    </row>
    <row r="10" spans="1:7" ht="17.5">
      <c r="A10" s="15">
        <v>44805</v>
      </c>
      <c r="B10" s="16">
        <v>18.03</v>
      </c>
    </row>
    <row r="11" spans="1:7" ht="17.5">
      <c r="A11" s="15">
        <v>44837</v>
      </c>
      <c r="B11" s="16">
        <v>17.43</v>
      </c>
    </row>
    <row r="12" spans="1:7" ht="17.5">
      <c r="A12" s="15">
        <v>44866</v>
      </c>
      <c r="B12" s="16">
        <v>17.84</v>
      </c>
    </row>
    <row r="13" spans="1:7" ht="17.5">
      <c r="A13" s="15">
        <v>44896</v>
      </c>
      <c r="B13" s="16">
        <v>19.71</v>
      </c>
    </row>
    <row r="14" spans="1:7" ht="18" thickBot="1">
      <c r="A14" s="15">
        <v>44929</v>
      </c>
      <c r="B14" s="16">
        <v>19.04</v>
      </c>
    </row>
    <row r="15" spans="1:7" ht="18" thickBot="1">
      <c r="A15" s="15">
        <v>44958</v>
      </c>
      <c r="B15" s="16">
        <v>19.670000000000002</v>
      </c>
      <c r="F15" s="34"/>
      <c r="G15" s="34"/>
    </row>
    <row r="16" spans="1:7" ht="18" thickBot="1">
      <c r="A16" s="15">
        <v>44986</v>
      </c>
      <c r="B16" s="16">
        <v>17.43</v>
      </c>
      <c r="F16" s="35"/>
      <c r="G16" s="36"/>
    </row>
    <row r="17" spans="1:7" ht="22" customHeight="1" thickBot="1">
      <c r="A17" s="15">
        <v>45019</v>
      </c>
      <c r="B17" s="16">
        <v>17.850000000000001</v>
      </c>
      <c r="F17" s="35"/>
      <c r="G17" s="36"/>
    </row>
    <row r="18" spans="1:7" ht="17.5" customHeight="1" thickBot="1">
      <c r="A18" s="15">
        <v>45047</v>
      </c>
      <c r="B18" s="16">
        <v>18.14</v>
      </c>
      <c r="F18" s="35"/>
      <c r="G18" s="36"/>
    </row>
    <row r="19" spans="1:7" ht="16" customHeight="1" thickBot="1">
      <c r="A19" s="15">
        <v>45078</v>
      </c>
      <c r="B19" s="16">
        <v>17.57</v>
      </c>
      <c r="F19" s="35"/>
      <c r="G19" s="36"/>
    </row>
    <row r="20" spans="1:7" ht="27" customHeight="1" thickBot="1">
      <c r="A20" s="15">
        <v>45110</v>
      </c>
      <c r="B20" s="16">
        <v>18.89</v>
      </c>
      <c r="F20" s="35"/>
      <c r="G20" s="36"/>
    </row>
    <row r="21" spans="1:7" ht="21.5" thickBot="1">
      <c r="A21" s="15">
        <v>45139</v>
      </c>
      <c r="B21" s="16">
        <v>20.74</v>
      </c>
      <c r="D21" s="3"/>
      <c r="E21" s="3"/>
      <c r="F21" s="35"/>
      <c r="G21" s="36"/>
    </row>
    <row r="22" spans="1:7" ht="18" thickBot="1">
      <c r="A22" s="15">
        <v>45170</v>
      </c>
      <c r="B22" s="16">
        <v>20.8</v>
      </c>
      <c r="F22" s="35"/>
      <c r="G22" s="36"/>
    </row>
    <row r="23" spans="1:7" ht="18" thickBot="1">
      <c r="A23" s="15">
        <v>45201</v>
      </c>
      <c r="B23" s="16">
        <v>18.72</v>
      </c>
      <c r="F23" s="35"/>
      <c r="G23" s="36"/>
    </row>
    <row r="24" spans="1:7" ht="18" thickBot="1">
      <c r="A24" s="15">
        <v>45231</v>
      </c>
      <c r="B24" s="16">
        <v>18.39</v>
      </c>
      <c r="F24" s="35"/>
      <c r="G24" s="36"/>
    </row>
    <row r="25" spans="1:7" ht="18" thickBot="1">
      <c r="A25" s="15">
        <v>45261</v>
      </c>
      <c r="B25" s="16">
        <v>20.51</v>
      </c>
      <c r="F25" s="35"/>
      <c r="G25" s="36"/>
    </row>
    <row r="26" spans="1:7" ht="18" thickBot="1">
      <c r="A26" s="15">
        <v>45293</v>
      </c>
      <c r="B26" s="16">
        <v>22.14</v>
      </c>
      <c r="F26" s="35"/>
      <c r="G26" s="36"/>
    </row>
    <row r="27" spans="1:7" ht="18" thickBot="1">
      <c r="A27" s="15">
        <v>45323</v>
      </c>
      <c r="B27" s="16">
        <v>23.85</v>
      </c>
      <c r="F27" s="35"/>
      <c r="G27" s="36"/>
    </row>
    <row r="28" spans="1:7" ht="18" thickBot="1">
      <c r="A28" s="15">
        <v>45352</v>
      </c>
      <c r="B28" s="16">
        <v>25.46</v>
      </c>
      <c r="F28" s="35"/>
      <c r="G28" s="36"/>
    </row>
    <row r="29" spans="1:7" ht="18" thickBot="1">
      <c r="A29" s="15">
        <v>45383</v>
      </c>
      <c r="B29" s="16">
        <v>24.37</v>
      </c>
      <c r="F29" s="35"/>
      <c r="G29" s="36"/>
    </row>
    <row r="30" spans="1:7" ht="18" thickBot="1">
      <c r="A30" s="15">
        <v>45413</v>
      </c>
      <c r="B30" s="16">
        <v>22.27</v>
      </c>
      <c r="F30" s="35"/>
      <c r="G30" s="36"/>
    </row>
    <row r="31" spans="1:7" ht="18" thickBot="1">
      <c r="A31" s="15">
        <v>45446</v>
      </c>
      <c r="B31" s="16">
        <v>22.01</v>
      </c>
      <c r="F31" s="35"/>
      <c r="G31" s="36"/>
    </row>
    <row r="32" spans="1:7" ht="18" thickBot="1">
      <c r="A32" s="15">
        <v>45474</v>
      </c>
      <c r="B32" s="16">
        <v>22.55</v>
      </c>
      <c r="F32" s="35"/>
      <c r="G32" s="36"/>
    </row>
    <row r="33" spans="1:7" ht="18" thickBot="1">
      <c r="A33" s="15">
        <v>45505</v>
      </c>
      <c r="B33" s="16">
        <v>24.13</v>
      </c>
      <c r="F33" s="35"/>
      <c r="G33" s="36"/>
    </row>
    <row r="34" spans="1:7" ht="18" thickBot="1">
      <c r="A34" s="15">
        <v>45538</v>
      </c>
      <c r="B34" s="16">
        <v>24.55</v>
      </c>
      <c r="F34" s="35"/>
      <c r="G34" s="36"/>
    </row>
    <row r="35" spans="1:7" ht="18" thickBot="1">
      <c r="A35" s="15">
        <v>45566</v>
      </c>
      <c r="B35" s="16">
        <v>27.53</v>
      </c>
      <c r="F35" s="35"/>
      <c r="G35" s="36"/>
    </row>
    <row r="36" spans="1:7" ht="18" thickBot="1">
      <c r="A36" s="15">
        <v>45597</v>
      </c>
      <c r="B36" s="16">
        <v>26.42</v>
      </c>
      <c r="F36" s="35"/>
      <c r="G36" s="36"/>
    </row>
    <row r="37" spans="1:7" ht="18" thickBot="1">
      <c r="A37" s="15">
        <v>45628</v>
      </c>
      <c r="B37" s="16">
        <v>29.01</v>
      </c>
      <c r="F37" s="35"/>
      <c r="G37" s="36"/>
    </row>
    <row r="38" spans="1:7" ht="18" thickBot="1">
      <c r="A38" s="15">
        <v>45659</v>
      </c>
      <c r="B38" s="16">
        <v>26.39</v>
      </c>
      <c r="F38" s="35"/>
      <c r="G38" s="36"/>
    </row>
    <row r="39" spans="1:7" ht="18" thickBot="1">
      <c r="A39" s="15">
        <v>45691</v>
      </c>
      <c r="B39" s="16">
        <v>27.77</v>
      </c>
      <c r="F39" s="35"/>
      <c r="G39" s="36"/>
    </row>
    <row r="40" spans="1:7" ht="18" thickBot="1">
      <c r="A40" s="15">
        <v>45719</v>
      </c>
      <c r="B40" s="16">
        <v>26.12</v>
      </c>
      <c r="F40" s="35"/>
      <c r="G40" s="36"/>
    </row>
    <row r="41" spans="1:7" ht="26.5" thickBot="1">
      <c r="F41" s="35"/>
      <c r="G41" s="36"/>
    </row>
    <row r="42" spans="1:7" ht="26.5" thickBot="1">
      <c r="F42" s="35"/>
      <c r="G42" s="36"/>
    </row>
    <row r="43" spans="1:7" ht="26.5" thickBot="1">
      <c r="F43" s="35"/>
      <c r="G43" s="36"/>
    </row>
    <row r="44" spans="1:7" ht="26.5" thickBot="1">
      <c r="F44" s="35"/>
      <c r="G44" s="36"/>
    </row>
    <row r="45" spans="1:7" ht="26.5" thickBot="1">
      <c r="F45" s="35"/>
      <c r="G45" s="36"/>
    </row>
    <row r="46" spans="1:7" ht="26.5" thickBot="1">
      <c r="F46" s="35"/>
      <c r="G46" s="36"/>
    </row>
    <row r="47" spans="1:7" ht="26.5" thickBot="1">
      <c r="F47" s="35"/>
      <c r="G47" s="36"/>
    </row>
    <row r="48" spans="1:7" ht="26.5" thickBot="1">
      <c r="F48" s="35"/>
      <c r="G48" s="36"/>
    </row>
    <row r="49" spans="1:7" ht="26.5" thickBot="1">
      <c r="F49" s="35"/>
      <c r="G49" s="36"/>
    </row>
    <row r="50" spans="1:7" ht="26.5" thickBot="1">
      <c r="F50" s="35"/>
      <c r="G50" s="36"/>
    </row>
    <row r="51" spans="1:7" ht="26.5" thickBot="1">
      <c r="F51" s="35"/>
      <c r="G51" s="36"/>
    </row>
    <row r="52" spans="1:7" ht="26.5" thickBot="1">
      <c r="F52" s="35"/>
      <c r="G52" s="36"/>
    </row>
    <row r="53" spans="1:7" ht="26.5" thickBot="1">
      <c r="F53" s="35"/>
      <c r="G53" s="36"/>
    </row>
    <row r="54" spans="1:7" ht="26.5" thickBot="1">
      <c r="F54" s="35"/>
      <c r="G54" s="36"/>
    </row>
    <row r="55" spans="1:7" ht="26.5" thickBot="1">
      <c r="F55" s="35"/>
      <c r="G55" s="36"/>
    </row>
    <row r="56" spans="1:7" ht="26.5" thickBot="1">
      <c r="F56" s="35"/>
      <c r="G56" s="36"/>
    </row>
    <row r="57" spans="1:7" ht="26.5" thickBot="1">
      <c r="F57" s="35"/>
      <c r="G57" s="36"/>
    </row>
    <row r="58" spans="1:7" ht="26.5" thickBot="1">
      <c r="F58" s="35"/>
      <c r="G58" s="36"/>
    </row>
    <row r="59" spans="1:7" ht="26.5" thickBot="1">
      <c r="F59" s="35"/>
      <c r="G59" s="36"/>
    </row>
    <row r="60" spans="1:7" ht="26.5" thickBot="1">
      <c r="F60" s="35"/>
      <c r="G60" s="36"/>
    </row>
    <row r="61" spans="1:7" ht="26.5" thickBot="1">
      <c r="F61" s="35"/>
      <c r="G61" s="36"/>
    </row>
    <row r="62" spans="1:7" ht="16" thickBot="1">
      <c r="A62" s="39" t="s">
        <v>8</v>
      </c>
      <c r="B62" s="39"/>
      <c r="F62" s="35"/>
      <c r="G62" s="36"/>
    </row>
    <row r="63" spans="1:7" ht="26.5" thickBot="1">
      <c r="F63" s="35"/>
      <c r="G63" s="36"/>
    </row>
    <row r="64" spans="1:7" ht="21.65" customHeight="1" thickBot="1">
      <c r="F64" s="35"/>
      <c r="G64" s="36"/>
    </row>
    <row r="65" spans="6:7" ht="26.5" thickBot="1">
      <c r="F65" s="35"/>
      <c r="G65" s="36"/>
    </row>
    <row r="66" spans="6:7" ht="26.5" thickBot="1">
      <c r="F66" s="35"/>
      <c r="G66" s="36"/>
    </row>
    <row r="67" spans="6:7" ht="26.5" thickBot="1">
      <c r="F67" s="35"/>
      <c r="G67" s="36"/>
    </row>
    <row r="68" spans="6:7" ht="26.5" thickBot="1">
      <c r="F68" s="35"/>
      <c r="G68" s="36"/>
    </row>
    <row r="69" spans="6:7" ht="26.5" thickBot="1">
      <c r="F69" s="35"/>
      <c r="G69" s="36"/>
    </row>
    <row r="70" spans="6:7" ht="26.5" thickBot="1">
      <c r="F70" s="35"/>
      <c r="G70" s="36"/>
    </row>
    <row r="71" spans="6:7" ht="26.5" thickBot="1">
      <c r="F71" s="35"/>
      <c r="G71" s="36"/>
    </row>
    <row r="72" spans="6:7" ht="26.5" thickBot="1">
      <c r="F72" s="35"/>
      <c r="G72" s="36"/>
    </row>
    <row r="73" spans="6:7" ht="26.5" thickBot="1">
      <c r="F73" s="35"/>
      <c r="G73" s="36"/>
    </row>
    <row r="74" spans="6:7" ht="26.5" thickBot="1">
      <c r="F74" s="35"/>
      <c r="G74" s="36"/>
    </row>
    <row r="75" spans="6:7" ht="26.5" thickBot="1">
      <c r="F75" s="35"/>
      <c r="G75" s="36"/>
    </row>
    <row r="76" spans="6:7" ht="26.5" thickBot="1">
      <c r="F76" s="35"/>
      <c r="G76" s="36"/>
    </row>
    <row r="77" spans="6:7" ht="26.5" thickBot="1">
      <c r="F77" s="35"/>
      <c r="G77" s="36"/>
    </row>
    <row r="78" spans="6:7">
      <c r="F78" s="35"/>
      <c r="G78" s="36"/>
    </row>
    <row r="79" spans="6:7" ht="26.5" thickBot="1">
      <c r="F79" s="37"/>
      <c r="G79" s="37"/>
    </row>
  </sheetData>
  <sortState xmlns:xlrd2="http://schemas.microsoft.com/office/spreadsheetml/2017/richdata2" ref="A2:B40">
    <sortCondition ref="A2:A40"/>
  </sortState>
  <mergeCells count="3">
    <mergeCell ref="A62:B62"/>
    <mergeCell ref="E5:E6"/>
    <mergeCell ref="E9:F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67B4-9536-4A70-9553-B4FAF0B05543}">
  <dimension ref="A2:E25"/>
  <sheetViews>
    <sheetView zoomScale="72" workbookViewId="0">
      <selection activeCell="G11" sqref="G11"/>
    </sheetView>
  </sheetViews>
  <sheetFormatPr defaultColWidth="10.6640625" defaultRowHeight="15.5"/>
  <cols>
    <col min="2" max="2" width="67.83203125" customWidth="1"/>
    <col min="3" max="3" width="25" customWidth="1"/>
    <col min="4" max="4" width="50.33203125" customWidth="1"/>
  </cols>
  <sheetData>
    <row r="2" spans="1:5" ht="26">
      <c r="A2" s="42" t="s">
        <v>21</v>
      </c>
      <c r="B2" s="42"/>
      <c r="C2" s="42"/>
      <c r="D2" s="42"/>
      <c r="E2" s="42"/>
    </row>
    <row r="3" spans="1:5" ht="26">
      <c r="B3" s="25" t="s">
        <v>22</v>
      </c>
      <c r="C3" s="25">
        <f>'Dividends and Growth Rate'!F8</f>
        <v>9</v>
      </c>
      <c r="D3" s="7" t="str">
        <f ca="1">_xlfn.FORMULATEXT(C3)</f>
        <v>='Dividends and Growth Rate'!F8</v>
      </c>
    </row>
    <row r="4" spans="1:5" ht="26">
      <c r="B4" s="25" t="s">
        <v>23</v>
      </c>
      <c r="C4" s="26">
        <f>'Hist. Price &amp; RRR'!J9</f>
        <v>0.12414529710901583</v>
      </c>
      <c r="D4" s="7" t="str">
        <f t="shared" ref="D4:D8" ca="1" si="0">_xlfn.FORMULATEXT(C4)</f>
        <v>='Hist. Price &amp; RRR'!J9</v>
      </c>
    </row>
    <row r="5" spans="1:5" ht="26">
      <c r="B5" s="25" t="s">
        <v>24</v>
      </c>
      <c r="C5" s="25">
        <f>'Dividends and Growth Rate'!I3</f>
        <v>8.8214375165017511E-2</v>
      </c>
      <c r="D5" s="7" t="str">
        <f t="shared" ca="1" si="0"/>
        <v>='Dividends and Growth Rate'!I3</v>
      </c>
    </row>
    <row r="6" spans="1:5" ht="26">
      <c r="B6" s="7"/>
      <c r="C6" s="7"/>
      <c r="D6" s="7"/>
    </row>
    <row r="7" spans="1:5" ht="26">
      <c r="B7" s="25" t="s">
        <v>25</v>
      </c>
      <c r="C7" s="25">
        <f>C3*(1+C5)^3</f>
        <v>11.598074261627159</v>
      </c>
      <c r="D7" s="7" t="str">
        <f ca="1">_xlfn.FORMULATEXT(C7)</f>
        <v>=C3*(1+C5)^3</v>
      </c>
    </row>
    <row r="8" spans="1:5" ht="26">
      <c r="B8" s="27" t="s">
        <v>30</v>
      </c>
      <c r="C8" s="27">
        <f>C7/(C4-C5)</f>
        <v>322.78810657026384</v>
      </c>
      <c r="D8" s="7" t="str">
        <f t="shared" ca="1" si="0"/>
        <v>=C7/(C4-C5)</v>
      </c>
    </row>
    <row r="13" spans="1:5">
      <c r="E13">
        <v>0</v>
      </c>
    </row>
    <row r="21" spans="1:5" ht="26">
      <c r="A21" s="42" t="s">
        <v>26</v>
      </c>
      <c r="B21" s="42"/>
      <c r="C21" s="42"/>
      <c r="D21" s="42"/>
      <c r="E21" s="42"/>
    </row>
    <row r="22" spans="1:5" ht="26">
      <c r="B22" s="7" t="s">
        <v>27</v>
      </c>
      <c r="C22" s="7">
        <f>'P-E ratio and Earning'!E2</f>
        <v>21.566666666666663</v>
      </c>
      <c r="D22" s="7" t="str">
        <f ca="1">_xlfn.FORMULATEXT(C22)</f>
        <v>='P-E ratio and Earning'!E2</v>
      </c>
    </row>
    <row r="23" spans="1:5" ht="26">
      <c r="B23" s="7" t="s">
        <v>28</v>
      </c>
      <c r="C23" s="7">
        <f>'P-E ratio and Earning'!F5</f>
        <v>15.06</v>
      </c>
      <c r="D23" s="7" t="str">
        <f ca="1">_xlfn.FORMULATEXT(C23)</f>
        <v>='P-E ratio and Earning'!F5</v>
      </c>
    </row>
    <row r="24" spans="1:5" ht="26">
      <c r="B24" s="7"/>
      <c r="C24" s="7"/>
      <c r="D24" s="7"/>
    </row>
    <row r="25" spans="1:5" ht="26">
      <c r="B25" s="27" t="s">
        <v>29</v>
      </c>
      <c r="C25" s="27">
        <f>C22*C23</f>
        <v>324.79399999999993</v>
      </c>
      <c r="D25" s="7" t="str">
        <f t="shared" ref="D25" ca="1" si="1">_xlfn.FORMULATEXT(C25)</f>
        <v>=C22*C23</v>
      </c>
    </row>
  </sheetData>
  <mergeCells count="2">
    <mergeCell ref="A2:E2"/>
    <mergeCell ref="A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 Edison Inc.</vt:lpstr>
      <vt:lpstr>Hist. Price &amp; RRR</vt:lpstr>
      <vt:lpstr>Dividends and Growth Rate</vt:lpstr>
      <vt:lpstr>Leverage Ratio</vt:lpstr>
      <vt:lpstr>P-E ratio and Earning</vt:lpstr>
      <vt:lpstr>Price Esimation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aman jhagta</cp:lastModifiedBy>
  <dcterms:created xsi:type="dcterms:W3CDTF">2019-10-20T02:43:06Z</dcterms:created>
  <dcterms:modified xsi:type="dcterms:W3CDTF">2025-06-11T03:52:40Z</dcterms:modified>
</cp:coreProperties>
</file>